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a5d811564f678/Documents/PSY310/tutorial2/data/"/>
    </mc:Choice>
  </mc:AlternateContent>
  <xr:revisionPtr revIDLastSave="5" documentId="8_{DB978AD5-5573-44E1-8BCA-0541F0E91D2D}" xr6:coauthVersionLast="47" xr6:coauthVersionMax="47" xr10:uidLastSave="{2ECF7A0F-0929-499B-BA9E-33CF47135E67}"/>
  <bookViews>
    <workbookView xWindow="-105" yWindow="0" windowWidth="14610" windowHeight="15585" xr2:uid="{DA5D03B4-B4CB-4B40-B131-D37B1B9A11E5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H102" i="1"/>
  <c r="L107" i="1" s="1"/>
  <c r="I102" i="1"/>
  <c r="J102" i="1"/>
  <c r="L109" i="1" s="1"/>
  <c r="G102" i="1"/>
  <c r="L106" i="1" s="1"/>
  <c r="D113" i="1" l="1"/>
  <c r="D114" i="1"/>
  <c r="I106" i="1"/>
  <c r="B114" i="1"/>
  <c r="L108" i="1"/>
  <c r="B113" i="1"/>
  <c r="I105" i="1"/>
  <c r="I111" i="1" l="1"/>
  <c r="L111" i="1" s="1"/>
  <c r="I112" i="1"/>
  <c r="L112" i="1" s="1"/>
</calcChain>
</file>

<file path=xl/sharedStrings.xml><?xml version="1.0" encoding="utf-8"?>
<sst xmlns="http://schemas.openxmlformats.org/spreadsheetml/2006/main" count="151" uniqueCount="39">
  <si>
    <t>key_resp.keys</t>
  </si>
  <si>
    <t>key_resp.corr</t>
  </si>
  <si>
    <t>up</t>
  </si>
  <si>
    <t>down</t>
  </si>
  <si>
    <t>Signal Present</t>
  </si>
  <si>
    <t>Signal Absent</t>
  </si>
  <si>
    <t>Respond- Yes</t>
  </si>
  <si>
    <t>Respond No</t>
  </si>
  <si>
    <t>Hit</t>
  </si>
  <si>
    <t>Miss</t>
  </si>
  <si>
    <t>False Alarm</t>
  </si>
  <si>
    <t>Correct Rejection</t>
  </si>
  <si>
    <t>prop hit = hit/hit+miss</t>
  </si>
  <si>
    <t>prop fa = fa/fa+corr rejection</t>
  </si>
  <si>
    <t>P/A</t>
  </si>
  <si>
    <t>Respond YES</t>
  </si>
  <si>
    <t>RESPOND NO</t>
  </si>
  <si>
    <t>d-prime = z(prop hit) -z (prop fa)</t>
  </si>
  <si>
    <t>c = -z(prop hit) + z(propfa)/2</t>
  </si>
  <si>
    <t>hit</t>
  </si>
  <si>
    <t>miss</t>
  </si>
  <si>
    <t>fa</t>
  </si>
  <si>
    <t>cr</t>
  </si>
  <si>
    <t>Actual gabbort tilt</t>
  </si>
  <si>
    <t>1= RIGHT, 0=WRONG</t>
  </si>
  <si>
    <t>Total</t>
  </si>
  <si>
    <t>Trials</t>
  </si>
  <si>
    <t xml:space="preserve">step 1 </t>
  </si>
  <si>
    <t>Step 2</t>
  </si>
  <si>
    <t>Proportion</t>
  </si>
  <si>
    <t>A</t>
  </si>
  <si>
    <t>B</t>
  </si>
  <si>
    <t>Measure</t>
  </si>
  <si>
    <t>Value</t>
  </si>
  <si>
    <t xml:space="preserve">Correct Rejection </t>
  </si>
  <si>
    <t>C</t>
  </si>
  <si>
    <t>d -prime</t>
  </si>
  <si>
    <t>Correct Response</t>
  </si>
  <si>
    <t>Incorrect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</si>
</sst>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Hits,Miss,FA</a:t>
            </a:r>
            <a:r>
              <a:rPr lang="en-US" baseline="0"/>
              <a:t> &amp; CR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Sheet1!$L$105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Sheet1!$K$106:$K$109</c:f>
              <c:strCache>
                <c:ptCount val="4"/>
                <c:pt idx="0">
                  <c:v>Hit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 </c:v>
                </c:pt>
              </c:strCache>
            </c:strRef>
          </c:cat>
          <c:val>
            <c:numRef>
              <c:f>Sheet1!$L$106:$L$109</c:f>
              <c:numCache>
                <c:formatCode>General</c:formatCode>
                <c:ptCount val="4"/>
                <c:pt idx="0">
                  <c:v>18</c:v>
                </c:pt>
                <c:pt idx="1">
                  <c:v>43</c:v>
                </c:pt>
                <c:pt idx="2">
                  <c:v>17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2-45DE-ACC2-7A3B88111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9987936"/>
        <c:axId val="683704896"/>
        <c:axId val="0"/>
      </c:bar3DChart>
      <c:catAx>
        <c:axId val="101998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04896"/>
        <c:crosses val="autoZero"/>
        <c:auto val="1"/>
        <c:lblAlgn val="ctr"/>
        <c:lblOffset val="100"/>
        <c:noMultiLvlLbl val="0"/>
      </c:catAx>
      <c:valAx>
        <c:axId val="6837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879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DETECTION MEASURES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91270611951399"/>
          <c:y val="0.14468213715526507"/>
          <c:w val="0.7979811898512686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Sheet1!$K$111:$K$112</c:f>
              <c:strCache>
                <c:ptCount val="2"/>
                <c:pt idx="0">
                  <c:v>d -prime</c:v>
                </c:pt>
                <c:pt idx="1">
                  <c:v>C</c:v>
                </c:pt>
              </c:strCache>
            </c:strRef>
          </c:cat>
          <c:val>
            <c:numRef>
              <c:f>Sheet1!$L$111:$L$112</c:f>
              <c:numCache>
                <c:formatCode>General</c:formatCode>
                <c:ptCount val="2"/>
                <c:pt idx="0">
                  <c:v>-0.3772194404242911</c:v>
                </c:pt>
                <c:pt idx="1">
                  <c:v>0.34998876294638465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D-4AA5-A67E-C3FFE21BE7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5160640"/>
        <c:axId val="683696736"/>
      </c:barChart>
      <c:catAx>
        <c:axId val="110516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96736"/>
        <c:crosses val="autoZero"/>
        <c:auto val="1"/>
        <c:lblAlgn val="ctr"/>
        <c:lblOffset val="100"/>
        <c:noMultiLvlLbl val="0"/>
      </c:catAx>
      <c:valAx>
        <c:axId val="68369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6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TILTS</a:t>
            </a:r>
            <a:r>
              <a:rPr lang="en-US" baseline="0"/>
              <a:t> ACROSS TRIALS</a:t>
            </a:r>
            <a:endParaRPr lang="en-US"/>
          </a:p>
        </c:rich>
      </c:tx>
      <c:layout>
        <c:manualLayout>
          <c:xMode val="edge"/>
          <c:yMode val="edge"/>
          <c:x val="0.37367581977272796"/>
          <c:y val="3.1062515156946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Actual gabbort tilt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</c:v>
                </c:pt>
                <c:pt idx="6">
                  <c:v>-2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-2</c:v>
                </c:pt>
                <c:pt idx="11">
                  <c:v>-1</c:v>
                </c:pt>
                <c:pt idx="12">
                  <c:v>-2</c:v>
                </c:pt>
                <c:pt idx="13">
                  <c:v>-1</c:v>
                </c:pt>
                <c:pt idx="14">
                  <c:v>0</c:v>
                </c:pt>
                <c:pt idx="15">
                  <c:v>-4</c:v>
                </c:pt>
                <c:pt idx="16">
                  <c:v>0</c:v>
                </c:pt>
                <c:pt idx="17">
                  <c:v>0</c:v>
                </c:pt>
                <c:pt idx="18">
                  <c:v>-4</c:v>
                </c:pt>
                <c:pt idx="19">
                  <c:v>0</c:v>
                </c:pt>
                <c:pt idx="20">
                  <c:v>0</c:v>
                </c:pt>
                <c:pt idx="21">
                  <c:v>-3</c:v>
                </c:pt>
                <c:pt idx="22">
                  <c:v>2</c:v>
                </c:pt>
                <c:pt idx="23">
                  <c:v>-1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</c:v>
                </c:pt>
                <c:pt idx="38">
                  <c:v>0</c:v>
                </c:pt>
                <c:pt idx="39">
                  <c:v>4</c:v>
                </c:pt>
                <c:pt idx="40">
                  <c:v>-4</c:v>
                </c:pt>
                <c:pt idx="41">
                  <c:v>0</c:v>
                </c:pt>
                <c:pt idx="42">
                  <c:v>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-5</c:v>
                </c:pt>
                <c:pt idx="54">
                  <c:v>0</c:v>
                </c:pt>
                <c:pt idx="55">
                  <c:v>0</c:v>
                </c:pt>
                <c:pt idx="56">
                  <c:v>-5</c:v>
                </c:pt>
                <c:pt idx="57">
                  <c:v>-1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-3</c:v>
                </c:pt>
                <c:pt idx="62">
                  <c:v>0</c:v>
                </c:pt>
                <c:pt idx="63">
                  <c:v>3</c:v>
                </c:pt>
                <c:pt idx="64">
                  <c:v>4</c:v>
                </c:pt>
                <c:pt idx="65">
                  <c:v>0</c:v>
                </c:pt>
                <c:pt idx="66">
                  <c:v>-3</c:v>
                </c:pt>
                <c:pt idx="67">
                  <c:v>0</c:v>
                </c:pt>
                <c:pt idx="68">
                  <c:v>-4</c:v>
                </c:pt>
                <c:pt idx="69">
                  <c:v>-5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>
                  <c:v>-1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-3</c:v>
                </c:pt>
                <c:pt idx="93">
                  <c:v>-1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4</c:v>
                </c:pt>
                <c:pt idx="98">
                  <c:v>2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4-4646-8BBB-44A25246C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636527"/>
        <c:axId val="204258527"/>
      </c:lineChart>
      <c:catAx>
        <c:axId val="29563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No.</a:t>
                </a:r>
                <a:r>
                  <a:rPr lang="en-IN" sz="1400" baseline="0"/>
                  <a:t> of Tilts</a:t>
                </a:r>
                <a:endParaRPr lang="en-IN" sz="1400"/>
              </a:p>
            </c:rich>
          </c:tx>
          <c:layout>
            <c:manualLayout>
              <c:xMode val="edge"/>
              <c:yMode val="edge"/>
              <c:x val="0.43684793951222523"/>
              <c:y val="0.9193871848673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8527"/>
        <c:crosses val="autoZero"/>
        <c:auto val="1"/>
        <c:lblAlgn val="ctr"/>
        <c:lblOffset val="100"/>
        <c:noMultiLvlLbl val="0"/>
      </c:catAx>
      <c:valAx>
        <c:axId val="204258527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Tilts</a:t>
                </a:r>
                <a:r>
                  <a:rPr lang="en-IN" sz="1400" baseline="0"/>
                  <a:t> </a:t>
                </a:r>
                <a:br>
                  <a:rPr lang="en-IN" sz="1400" baseline="0"/>
                </a:br>
                <a:r>
                  <a:rPr lang="en-IN" sz="1400" baseline="0"/>
                  <a:t>+= clockwise - =Counter clockwise</a:t>
                </a:r>
                <a:endParaRPr lang="en-I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3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Tilt</a:t>
            </a:r>
            <a:r>
              <a:rPr lang="en-IN" baseline="0"/>
              <a:t> and Response Accuracy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2-4656-90D2-75D84C97529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Actual gabbort tilt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</c:v>
                </c:pt>
                <c:pt idx="6">
                  <c:v>-2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-2</c:v>
                </c:pt>
                <c:pt idx="11">
                  <c:v>-1</c:v>
                </c:pt>
                <c:pt idx="12">
                  <c:v>-2</c:v>
                </c:pt>
                <c:pt idx="13">
                  <c:v>-1</c:v>
                </c:pt>
                <c:pt idx="14">
                  <c:v>0</c:v>
                </c:pt>
                <c:pt idx="15">
                  <c:v>-4</c:v>
                </c:pt>
                <c:pt idx="16">
                  <c:v>0</c:v>
                </c:pt>
                <c:pt idx="17">
                  <c:v>0</c:v>
                </c:pt>
                <c:pt idx="18">
                  <c:v>-4</c:v>
                </c:pt>
                <c:pt idx="19">
                  <c:v>0</c:v>
                </c:pt>
                <c:pt idx="20">
                  <c:v>0</c:v>
                </c:pt>
                <c:pt idx="21">
                  <c:v>-3</c:v>
                </c:pt>
                <c:pt idx="22">
                  <c:v>2</c:v>
                </c:pt>
                <c:pt idx="23">
                  <c:v>-1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</c:v>
                </c:pt>
                <c:pt idx="38">
                  <c:v>0</c:v>
                </c:pt>
                <c:pt idx="39">
                  <c:v>4</c:v>
                </c:pt>
                <c:pt idx="40">
                  <c:v>-4</c:v>
                </c:pt>
                <c:pt idx="41">
                  <c:v>0</c:v>
                </c:pt>
                <c:pt idx="42">
                  <c:v>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-5</c:v>
                </c:pt>
                <c:pt idx="54">
                  <c:v>0</c:v>
                </c:pt>
                <c:pt idx="55">
                  <c:v>0</c:v>
                </c:pt>
                <c:pt idx="56">
                  <c:v>-5</c:v>
                </c:pt>
                <c:pt idx="57">
                  <c:v>-1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-3</c:v>
                </c:pt>
                <c:pt idx="62">
                  <c:v>0</c:v>
                </c:pt>
                <c:pt idx="63">
                  <c:v>3</c:v>
                </c:pt>
                <c:pt idx="64">
                  <c:v>4</c:v>
                </c:pt>
                <c:pt idx="65">
                  <c:v>0</c:v>
                </c:pt>
                <c:pt idx="66">
                  <c:v>-3</c:v>
                </c:pt>
                <c:pt idx="67">
                  <c:v>0</c:v>
                </c:pt>
                <c:pt idx="68">
                  <c:v>-4</c:v>
                </c:pt>
                <c:pt idx="69">
                  <c:v>-5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>
                  <c:v>-1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-3</c:v>
                </c:pt>
                <c:pt idx="93">
                  <c:v>-1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4</c:v>
                </c:pt>
                <c:pt idx="98">
                  <c:v>2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2-4656-90D2-75D84C975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993167"/>
        <c:axId val="204283487"/>
      </c:lineChart>
      <c:catAx>
        <c:axId val="289993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83487"/>
        <c:crosses val="autoZero"/>
        <c:auto val="1"/>
        <c:lblAlgn val="ctr"/>
        <c:lblOffset val="100"/>
        <c:noMultiLvlLbl val="0"/>
      </c:catAx>
      <c:valAx>
        <c:axId val="2042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99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Tilt</a:t>
            </a:r>
            <a:r>
              <a:rPr lang="en-IN" baseline="0"/>
              <a:t> vs. Response Accuracy per trial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2.5591021855490767E-2"/>
          <c:y val="0.131152173864621"/>
          <c:w val="0.95192155836847492"/>
          <c:h val="0.7490636422562129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Actual gabbort tilt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</c:v>
                </c:pt>
                <c:pt idx="6">
                  <c:v>-2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-2</c:v>
                </c:pt>
                <c:pt idx="11">
                  <c:v>-1</c:v>
                </c:pt>
                <c:pt idx="12">
                  <c:v>-2</c:v>
                </c:pt>
                <c:pt idx="13">
                  <c:v>-1</c:v>
                </c:pt>
                <c:pt idx="14">
                  <c:v>0</c:v>
                </c:pt>
                <c:pt idx="15">
                  <c:v>-4</c:v>
                </c:pt>
                <c:pt idx="16">
                  <c:v>0</c:v>
                </c:pt>
                <c:pt idx="17">
                  <c:v>0</c:v>
                </c:pt>
                <c:pt idx="18">
                  <c:v>-4</c:v>
                </c:pt>
                <c:pt idx="19">
                  <c:v>0</c:v>
                </c:pt>
                <c:pt idx="20">
                  <c:v>0</c:v>
                </c:pt>
                <c:pt idx="21">
                  <c:v>-3</c:v>
                </c:pt>
                <c:pt idx="22">
                  <c:v>2</c:v>
                </c:pt>
                <c:pt idx="23">
                  <c:v>-1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</c:v>
                </c:pt>
                <c:pt idx="38">
                  <c:v>0</c:v>
                </c:pt>
                <c:pt idx="39">
                  <c:v>4</c:v>
                </c:pt>
                <c:pt idx="40">
                  <c:v>-4</c:v>
                </c:pt>
                <c:pt idx="41">
                  <c:v>0</c:v>
                </c:pt>
                <c:pt idx="42">
                  <c:v>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-5</c:v>
                </c:pt>
                <c:pt idx="54">
                  <c:v>0</c:v>
                </c:pt>
                <c:pt idx="55">
                  <c:v>0</c:v>
                </c:pt>
                <c:pt idx="56">
                  <c:v>-5</c:v>
                </c:pt>
                <c:pt idx="57">
                  <c:v>-1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-3</c:v>
                </c:pt>
                <c:pt idx="62">
                  <c:v>0</c:v>
                </c:pt>
                <c:pt idx="63">
                  <c:v>3</c:v>
                </c:pt>
                <c:pt idx="64">
                  <c:v>4</c:v>
                </c:pt>
                <c:pt idx="65">
                  <c:v>0</c:v>
                </c:pt>
                <c:pt idx="66">
                  <c:v>-3</c:v>
                </c:pt>
                <c:pt idx="67">
                  <c:v>0</c:v>
                </c:pt>
                <c:pt idx="68">
                  <c:v>-4</c:v>
                </c:pt>
                <c:pt idx="69">
                  <c:v>-5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>
                  <c:v>-1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-3</c:v>
                </c:pt>
                <c:pt idx="93">
                  <c:v>-1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4</c:v>
                </c:pt>
                <c:pt idx="98">
                  <c:v>2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72-4A7D-82CA-D094A80A2789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Correct Response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</c:v>
                </c:pt>
                <c:pt idx="6">
                  <c:v>-2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4">
                  <c:v>0</c:v>
                </c:pt>
                <c:pt idx="15">
                  <c:v>-4</c:v>
                </c:pt>
                <c:pt idx="17">
                  <c:v>0</c:v>
                </c:pt>
                <c:pt idx="18">
                  <c:v>-4</c:v>
                </c:pt>
                <c:pt idx="21">
                  <c:v>-3</c:v>
                </c:pt>
                <c:pt idx="23">
                  <c:v>-1</c:v>
                </c:pt>
                <c:pt idx="27">
                  <c:v>-1</c:v>
                </c:pt>
                <c:pt idx="31">
                  <c:v>0</c:v>
                </c:pt>
                <c:pt idx="32">
                  <c:v>-1</c:v>
                </c:pt>
                <c:pt idx="37">
                  <c:v>-2</c:v>
                </c:pt>
                <c:pt idx="38">
                  <c:v>0</c:v>
                </c:pt>
                <c:pt idx="39">
                  <c:v>4</c:v>
                </c:pt>
                <c:pt idx="42">
                  <c:v>4</c:v>
                </c:pt>
                <c:pt idx="44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-5</c:v>
                </c:pt>
                <c:pt idx="56">
                  <c:v>-5</c:v>
                </c:pt>
                <c:pt idx="57">
                  <c:v>-1</c:v>
                </c:pt>
                <c:pt idx="59">
                  <c:v>0</c:v>
                </c:pt>
                <c:pt idx="60">
                  <c:v>0</c:v>
                </c:pt>
                <c:pt idx="61">
                  <c:v>-3</c:v>
                </c:pt>
                <c:pt idx="62">
                  <c:v>0</c:v>
                </c:pt>
                <c:pt idx="66">
                  <c:v>-3</c:v>
                </c:pt>
                <c:pt idx="71">
                  <c:v>0</c:v>
                </c:pt>
                <c:pt idx="74">
                  <c:v>2</c:v>
                </c:pt>
                <c:pt idx="75">
                  <c:v>0</c:v>
                </c:pt>
                <c:pt idx="80">
                  <c:v>-1</c:v>
                </c:pt>
                <c:pt idx="81">
                  <c:v>0</c:v>
                </c:pt>
                <c:pt idx="84">
                  <c:v>0</c:v>
                </c:pt>
                <c:pt idx="94">
                  <c:v>2</c:v>
                </c:pt>
                <c:pt idx="95">
                  <c:v>0</c:v>
                </c:pt>
                <c:pt idx="9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72-4A7D-82CA-D094A80A2789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Incorrect Response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0</c:v>
                </c:pt>
                <c:pt idx="10">
                  <c:v>-2</c:v>
                </c:pt>
                <c:pt idx="11">
                  <c:v>-1</c:v>
                </c:pt>
                <c:pt idx="12">
                  <c:v>-2</c:v>
                </c:pt>
                <c:pt idx="13">
                  <c:v>-1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2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40">
                  <c:v>-4</c:v>
                </c:pt>
                <c:pt idx="41">
                  <c:v>0</c:v>
                </c:pt>
                <c:pt idx="43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-2</c:v>
                </c:pt>
                <c:pt idx="54">
                  <c:v>0</c:v>
                </c:pt>
                <c:pt idx="55">
                  <c:v>0</c:v>
                </c:pt>
                <c:pt idx="58">
                  <c:v>0</c:v>
                </c:pt>
                <c:pt idx="63">
                  <c:v>3</c:v>
                </c:pt>
                <c:pt idx="64">
                  <c:v>4</c:v>
                </c:pt>
                <c:pt idx="65">
                  <c:v>0</c:v>
                </c:pt>
                <c:pt idx="67">
                  <c:v>0</c:v>
                </c:pt>
                <c:pt idx="68">
                  <c:v>-4</c:v>
                </c:pt>
                <c:pt idx="69">
                  <c:v>-5</c:v>
                </c:pt>
                <c:pt idx="70">
                  <c:v>0</c:v>
                </c:pt>
                <c:pt idx="72">
                  <c:v>0</c:v>
                </c:pt>
                <c:pt idx="73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2">
                  <c:v>0</c:v>
                </c:pt>
                <c:pt idx="83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-3</c:v>
                </c:pt>
                <c:pt idx="93">
                  <c:v>-1</c:v>
                </c:pt>
                <c:pt idx="96">
                  <c:v>0</c:v>
                </c:pt>
                <c:pt idx="98">
                  <c:v>2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72-4A7D-82CA-D094A80A2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919423"/>
        <c:axId val="654965599"/>
      </c:scatterChart>
      <c:valAx>
        <c:axId val="66791942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65599"/>
        <c:crosses val="autoZero"/>
        <c:crossBetween val="midCat"/>
      </c:valAx>
      <c:valAx>
        <c:axId val="654965599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9194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1264398</xdr:colOff>
      <xdr:row>24</xdr:row>
      <xdr:rowOff>66278</xdr:rowOff>
    </xdr:from>
    <xdr:to>
      <xdr:col>15</xdr:col>
      <xdr:colOff>1073633</xdr:colOff>
      <xdr:row>38</xdr:row>
      <xdr:rowOff>172246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577826-226D-A9F4-4731-A211BA706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1070117</xdr:colOff>
      <xdr:row>3</xdr:row>
      <xdr:rowOff>86852</xdr:rowOff>
    </xdr:from>
    <xdr:to>
      <xdr:col>15</xdr:col>
      <xdr:colOff>879305</xdr:colOff>
      <xdr:row>18</xdr:row>
      <xdr:rowOff>61140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0BB3E4-E333-7676-00C9-7BD277AEA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512130</xdr:colOff>
      <xdr:row>39</xdr:row>
      <xdr:rowOff>120838</xdr:rowOff>
    </xdr:from>
    <xdr:to>
      <xdr:col>16</xdr:col>
      <xdr:colOff>233593</xdr:colOff>
      <xdr:row>61</xdr:row>
      <xdr:rowOff>93466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26867-332F-2454-52C1-EE4136981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346979</xdr:colOff>
      <xdr:row>48</xdr:row>
      <xdr:rowOff>40061</xdr:rowOff>
    </xdr:from>
    <xdr:to>
      <xdr:col>38</xdr:col>
      <xdr:colOff>55079</xdr:colOff>
      <xdr:row>64</xdr:row>
      <xdr:rowOff>19160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B1699-B9B0-37A0-FCB5-5DDCE319F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180618</xdr:colOff>
      <xdr:row>63</xdr:row>
      <xdr:rowOff>152734</xdr:rowOff>
    </xdr:from>
    <xdr:to>
      <xdr:col>19</xdr:col>
      <xdr:colOff>471016</xdr:colOff>
      <xdr:row>82</xdr:row>
      <xdr:rowOff>62802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C52CB8-B196-A77B-D9D3-166BC0270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1D59-2B70-4951-B59D-A9D18ED2FE76}">
  <dimension ref="A1:O119"/>
  <sheetViews>
    <sheetView tabSelected="1" topLeftCell="L1" zoomScale="85" zoomScaleNormal="100" workbookViewId="0">
      <selection activeCell="P13" sqref="P13"/>
    </sheetView>
  </sheetViews>
  <sheetFormatPr defaultRowHeight="15" x14ac:dyDescent="0.25"/>
  <cols>
    <col min="1" max="1" width="17.140625" customWidth="1"/>
    <col min="2" max="3" width="22.140625" customWidth="1"/>
    <col min="4" max="4" width="19.140625" customWidth="1"/>
    <col min="5" max="5" width="25.7109375" customWidth="1"/>
    <col min="6" max="6" width="22.85546875" customWidth="1"/>
    <col min="8" max="8" width="27" customWidth="1"/>
    <col min="9" max="9" width="24.85546875" customWidth="1"/>
    <col min="10" max="10" width="19.140625" customWidth="1"/>
    <col min="11" max="11" width="19.42578125" customWidth="1"/>
    <col min="12" max="12" width="20.5703125" customWidth="1"/>
    <col min="13" max="13" width="9" customWidth="1"/>
    <col min="14" max="14" width="24.140625" customWidth="1"/>
    <col min="15" max="15" width="27" customWidth="1"/>
    <col min="16" max="16" width="28" customWidth="1"/>
    <col min="44" max="44" width="15.7109375" customWidth="1"/>
  </cols>
  <sheetData>
    <row r="1" spans="1:15" x14ac:dyDescent="0.25">
      <c r="A1" s="1" t="s">
        <v>0</v>
      </c>
      <c r="B1" s="1" t="s">
        <v>1</v>
      </c>
      <c r="C1" s="1" t="s">
        <v>26</v>
      </c>
      <c r="D1" s="1" t="s">
        <v>23</v>
      </c>
      <c r="E1" s="1" t="s">
        <v>37</v>
      </c>
      <c r="F1" s="1" t="s">
        <v>38</v>
      </c>
      <c r="G1" s="1" t="s">
        <v>19</v>
      </c>
      <c r="H1" s="1" t="s">
        <v>20</v>
      </c>
      <c r="I1" s="1" t="s">
        <v>21</v>
      </c>
      <c r="J1" s="1" t="s">
        <v>22</v>
      </c>
      <c r="K1" s="1"/>
      <c r="L1" s="1"/>
      <c r="M1" s="1"/>
      <c r="N1" s="1"/>
      <c r="O1" s="1"/>
    </row>
    <row r="2" spans="1:15" x14ac:dyDescent="0.25">
      <c r="A2" t="s">
        <v>3</v>
      </c>
      <c r="B2">
        <v>0</v>
      </c>
      <c r="C2">
        <v>1</v>
      </c>
      <c r="D2">
        <v>0</v>
      </c>
      <c r="E2" t="e">
        <f>IF(B2=1,D2,NA())</f>
        <v>#N/A</v>
      </c>
      <c r="F2">
        <f>IF(B2=0,D2,NA())</f>
        <v>0</v>
      </c>
      <c r="G2" s="4">
        <v>0</v>
      </c>
      <c r="H2" s="4">
        <v>1</v>
      </c>
      <c r="I2" s="4">
        <v>0</v>
      </c>
      <c r="J2" s="4">
        <v>0</v>
      </c>
    </row>
    <row r="3" spans="1:15" x14ac:dyDescent="0.25">
      <c r="A3" t="s">
        <v>2</v>
      </c>
      <c r="B3">
        <v>1</v>
      </c>
      <c r="C3">
        <v>2</v>
      </c>
      <c r="D3">
        <v>0</v>
      </c>
      <c r="E3">
        <f>IF(B3=1,D3,NA())</f>
        <v>0</v>
      </c>
      <c r="F3" t="e">
        <f>IF(B3=0,D3,NA())</f>
        <v>#N/A</v>
      </c>
      <c r="G3" s="4">
        <v>1</v>
      </c>
      <c r="H3" s="4">
        <v>0</v>
      </c>
      <c r="I3" s="4">
        <v>0</v>
      </c>
      <c r="J3" s="4">
        <v>0</v>
      </c>
    </row>
    <row r="4" spans="1:15" x14ac:dyDescent="0.25">
      <c r="A4" t="s">
        <v>2</v>
      </c>
      <c r="B4">
        <v>1</v>
      </c>
      <c r="C4">
        <v>3</v>
      </c>
      <c r="D4">
        <v>0</v>
      </c>
      <c r="E4">
        <f>IF(B4=1,D4,NA())</f>
        <v>0</v>
      </c>
      <c r="F4" t="e">
        <f>IF(B4=0,D4,NA())</f>
        <v>#N/A</v>
      </c>
      <c r="G4" s="4">
        <v>1</v>
      </c>
      <c r="H4" s="4">
        <v>0</v>
      </c>
      <c r="I4" s="4">
        <v>0</v>
      </c>
      <c r="J4" s="4">
        <v>0</v>
      </c>
    </row>
    <row r="5" spans="1:15" x14ac:dyDescent="0.25">
      <c r="A5" t="s">
        <v>2</v>
      </c>
      <c r="B5">
        <v>1</v>
      </c>
      <c r="C5">
        <v>4</v>
      </c>
      <c r="D5">
        <v>0</v>
      </c>
      <c r="E5">
        <f>IF(B5=1,D5,NA())</f>
        <v>0</v>
      </c>
      <c r="F5" t="e">
        <f>IF(B5=0,D5,NA())</f>
        <v>#N/A</v>
      </c>
      <c r="G5" s="4">
        <v>1</v>
      </c>
      <c r="H5" s="4">
        <v>0</v>
      </c>
      <c r="I5" s="4">
        <v>0</v>
      </c>
      <c r="J5" s="4">
        <v>0</v>
      </c>
    </row>
    <row r="6" spans="1:15" x14ac:dyDescent="0.25">
      <c r="A6" t="s">
        <v>2</v>
      </c>
      <c r="B6">
        <v>1</v>
      </c>
      <c r="C6">
        <v>5</v>
      </c>
      <c r="D6">
        <v>0</v>
      </c>
      <c r="E6">
        <f>IF(B6=1,D6,NA())</f>
        <v>0</v>
      </c>
      <c r="F6" t="e">
        <f>IF(B6=0,D6,NA())</f>
        <v>#N/A</v>
      </c>
      <c r="G6" s="4">
        <v>1</v>
      </c>
      <c r="H6" s="4">
        <v>0</v>
      </c>
      <c r="I6" s="4">
        <v>0</v>
      </c>
      <c r="J6" s="4">
        <v>0</v>
      </c>
    </row>
    <row r="7" spans="1:15" x14ac:dyDescent="0.25">
      <c r="A7" t="s">
        <v>3</v>
      </c>
      <c r="B7">
        <v>1</v>
      </c>
      <c r="C7">
        <v>6</v>
      </c>
      <c r="D7">
        <v>-5</v>
      </c>
      <c r="E7">
        <f>IF(B7=1,D7,NA())</f>
        <v>-5</v>
      </c>
      <c r="F7" t="e">
        <f>IF(B7=0,D7,NA())</f>
        <v>#N/A</v>
      </c>
      <c r="G7" s="4">
        <v>0</v>
      </c>
      <c r="H7" s="4">
        <v>0</v>
      </c>
      <c r="I7" s="4">
        <v>0</v>
      </c>
      <c r="J7" s="4">
        <v>1</v>
      </c>
    </row>
    <row r="8" spans="1:15" x14ac:dyDescent="0.25">
      <c r="A8" t="s">
        <v>3</v>
      </c>
      <c r="B8">
        <v>1</v>
      </c>
      <c r="C8">
        <v>7</v>
      </c>
      <c r="D8">
        <v>-2</v>
      </c>
      <c r="E8">
        <f>IF(B8=1,D8,NA())</f>
        <v>-2</v>
      </c>
      <c r="F8" t="e">
        <f>IF(B8=0,D8,NA())</f>
        <v>#N/A</v>
      </c>
      <c r="G8" s="4">
        <v>0</v>
      </c>
      <c r="H8" s="4">
        <v>0</v>
      </c>
      <c r="I8" s="4">
        <v>0</v>
      </c>
      <c r="J8" s="4">
        <v>1</v>
      </c>
    </row>
    <row r="9" spans="1:15" x14ac:dyDescent="0.25">
      <c r="A9" t="s">
        <v>3</v>
      </c>
      <c r="B9">
        <v>1</v>
      </c>
      <c r="C9">
        <v>8</v>
      </c>
      <c r="D9">
        <v>2</v>
      </c>
      <c r="E9">
        <f>IF(B9=1,D9,NA())</f>
        <v>2</v>
      </c>
      <c r="F9" t="e">
        <f>IF(B9=0,D9,NA())</f>
        <v>#N/A</v>
      </c>
      <c r="G9" s="4">
        <v>0</v>
      </c>
      <c r="H9" s="4">
        <v>0</v>
      </c>
      <c r="I9" s="4">
        <v>0</v>
      </c>
      <c r="J9" s="4">
        <v>1</v>
      </c>
    </row>
    <row r="10" spans="1:15" x14ac:dyDescent="0.25">
      <c r="A10" t="s">
        <v>3</v>
      </c>
      <c r="B10">
        <v>1</v>
      </c>
      <c r="C10">
        <v>9</v>
      </c>
      <c r="D10">
        <v>2</v>
      </c>
      <c r="E10">
        <f>IF(B10=1,D10,NA())</f>
        <v>2</v>
      </c>
      <c r="F10" t="e">
        <f>IF(B10=0,D10,NA())</f>
        <v>#N/A</v>
      </c>
      <c r="G10" s="4">
        <v>0</v>
      </c>
      <c r="H10" s="4">
        <v>0</v>
      </c>
      <c r="I10" s="4">
        <v>0</v>
      </c>
      <c r="J10" s="4">
        <v>1</v>
      </c>
    </row>
    <row r="11" spans="1:15" x14ac:dyDescent="0.25">
      <c r="A11" t="s">
        <v>2</v>
      </c>
      <c r="B11">
        <v>1</v>
      </c>
      <c r="C11">
        <v>10</v>
      </c>
      <c r="D11">
        <v>0</v>
      </c>
      <c r="E11">
        <f>IF(B11=1,D11,NA())</f>
        <v>0</v>
      </c>
      <c r="F11" t="e">
        <f>IF(B11=0,D11,NA())</f>
        <v>#N/A</v>
      </c>
      <c r="G11" s="4">
        <v>1</v>
      </c>
      <c r="H11" s="4">
        <v>0</v>
      </c>
      <c r="I11" s="4">
        <v>0</v>
      </c>
      <c r="J11" s="4">
        <v>0</v>
      </c>
    </row>
    <row r="12" spans="1:15" x14ac:dyDescent="0.25">
      <c r="A12" t="s">
        <v>2</v>
      </c>
      <c r="B12">
        <v>0</v>
      </c>
      <c r="C12">
        <v>11</v>
      </c>
      <c r="D12">
        <v>-2</v>
      </c>
      <c r="E12" t="e">
        <f>IF(B12=1,D12,NA())</f>
        <v>#N/A</v>
      </c>
      <c r="F12">
        <f>IF(B12=0,D12,NA())</f>
        <v>-2</v>
      </c>
      <c r="G12" s="4">
        <v>0</v>
      </c>
      <c r="H12" s="4">
        <v>0</v>
      </c>
      <c r="I12" s="4">
        <v>1</v>
      </c>
      <c r="J12" s="4">
        <v>0</v>
      </c>
    </row>
    <row r="13" spans="1:15" x14ac:dyDescent="0.25">
      <c r="A13" t="s">
        <v>2</v>
      </c>
      <c r="B13">
        <v>0</v>
      </c>
      <c r="C13">
        <v>12</v>
      </c>
      <c r="D13">
        <v>-1</v>
      </c>
      <c r="E13" t="e">
        <f>IF(B13=1,D13,NA())</f>
        <v>#N/A</v>
      </c>
      <c r="F13">
        <f>IF(B13=0,D13,NA())</f>
        <v>-1</v>
      </c>
      <c r="G13" s="4">
        <v>0</v>
      </c>
      <c r="H13" s="4">
        <v>0</v>
      </c>
      <c r="I13" s="4">
        <v>1</v>
      </c>
      <c r="J13" s="4">
        <v>0</v>
      </c>
    </row>
    <row r="14" spans="1:15" x14ac:dyDescent="0.25">
      <c r="A14" t="s">
        <v>2</v>
      </c>
      <c r="B14">
        <v>0</v>
      </c>
      <c r="C14">
        <v>13</v>
      </c>
      <c r="D14">
        <v>-2</v>
      </c>
      <c r="E14" t="e">
        <f>IF(B14=1,D14,NA())</f>
        <v>#N/A</v>
      </c>
      <c r="F14">
        <f>IF(B14=0,D14,NA())</f>
        <v>-2</v>
      </c>
      <c r="G14" s="4">
        <v>0</v>
      </c>
      <c r="H14" s="4">
        <v>0</v>
      </c>
      <c r="I14" s="4">
        <v>1</v>
      </c>
      <c r="J14" s="4">
        <v>0</v>
      </c>
    </row>
    <row r="15" spans="1:15" x14ac:dyDescent="0.25">
      <c r="A15" t="s">
        <v>2</v>
      </c>
      <c r="B15">
        <v>0</v>
      </c>
      <c r="C15">
        <v>14</v>
      </c>
      <c r="D15">
        <v>-1</v>
      </c>
      <c r="E15" t="e">
        <f>IF(B15=1,D15,NA())</f>
        <v>#N/A</v>
      </c>
      <c r="F15">
        <f>IF(B15=0,D15,NA())</f>
        <v>-1</v>
      </c>
      <c r="G15" s="4">
        <v>0</v>
      </c>
      <c r="H15" s="4">
        <v>0</v>
      </c>
      <c r="I15" s="4">
        <v>1</v>
      </c>
      <c r="J15" s="4">
        <v>0</v>
      </c>
    </row>
    <row r="16" spans="1:15" x14ac:dyDescent="0.25">
      <c r="A16" t="s">
        <v>2</v>
      </c>
      <c r="B16">
        <v>1</v>
      </c>
      <c r="C16">
        <v>15</v>
      </c>
      <c r="D16">
        <v>0</v>
      </c>
      <c r="E16">
        <f>IF(B16=1,D16,NA())</f>
        <v>0</v>
      </c>
      <c r="F16" t="e">
        <f>IF(B16=0,D16,NA())</f>
        <v>#N/A</v>
      </c>
      <c r="G16" s="4">
        <v>1</v>
      </c>
      <c r="H16" s="4">
        <v>0</v>
      </c>
      <c r="I16" s="4">
        <v>0</v>
      </c>
      <c r="J16" s="4">
        <v>0</v>
      </c>
    </row>
    <row r="17" spans="1:10" x14ac:dyDescent="0.25">
      <c r="A17" t="s">
        <v>3</v>
      </c>
      <c r="B17">
        <v>1</v>
      </c>
      <c r="C17">
        <v>16</v>
      </c>
      <c r="D17">
        <v>-4</v>
      </c>
      <c r="E17">
        <f>IF(B17=1,D17,NA())</f>
        <v>-4</v>
      </c>
      <c r="F17" t="e">
        <f>IF(B17=0,D17,NA())</f>
        <v>#N/A</v>
      </c>
      <c r="G17" s="4">
        <v>0</v>
      </c>
      <c r="H17" s="4">
        <v>0</v>
      </c>
      <c r="I17" s="4">
        <v>0</v>
      </c>
      <c r="J17" s="4">
        <v>1</v>
      </c>
    </row>
    <row r="18" spans="1:10" x14ac:dyDescent="0.25">
      <c r="A18" t="s">
        <v>3</v>
      </c>
      <c r="B18">
        <v>0</v>
      </c>
      <c r="C18">
        <v>17</v>
      </c>
      <c r="D18">
        <v>0</v>
      </c>
      <c r="E18" t="e">
        <f>IF(B18=1,D18,NA())</f>
        <v>#N/A</v>
      </c>
      <c r="F18">
        <f>IF(B18=0,D18,NA())</f>
        <v>0</v>
      </c>
      <c r="G18" s="4">
        <v>0</v>
      </c>
      <c r="H18" s="4">
        <v>1</v>
      </c>
      <c r="I18" s="4">
        <v>0</v>
      </c>
      <c r="J18" s="4">
        <v>0</v>
      </c>
    </row>
    <row r="19" spans="1:10" x14ac:dyDescent="0.25">
      <c r="A19" t="s">
        <v>3</v>
      </c>
      <c r="B19">
        <v>1</v>
      </c>
      <c r="C19">
        <v>18</v>
      </c>
      <c r="D19">
        <v>0</v>
      </c>
      <c r="E19">
        <f>IF(B19=1,D19,NA())</f>
        <v>0</v>
      </c>
      <c r="F19" t="e">
        <f>IF(B19=0,D19,NA())</f>
        <v>#N/A</v>
      </c>
      <c r="G19" s="4">
        <v>0</v>
      </c>
      <c r="H19" s="4">
        <v>1</v>
      </c>
      <c r="I19" s="4">
        <v>0</v>
      </c>
      <c r="J19" s="4">
        <v>0</v>
      </c>
    </row>
    <row r="20" spans="1:10" x14ac:dyDescent="0.25">
      <c r="A20" t="s">
        <v>3</v>
      </c>
      <c r="B20">
        <v>1</v>
      </c>
      <c r="C20">
        <v>19</v>
      </c>
      <c r="D20">
        <v>-4</v>
      </c>
      <c r="E20">
        <f>IF(B20=1,D20,NA())</f>
        <v>-4</v>
      </c>
      <c r="F20" t="e">
        <f>IF(B20=0,D20,NA())</f>
        <v>#N/A</v>
      </c>
      <c r="G20" s="4">
        <v>0</v>
      </c>
      <c r="H20" s="4">
        <v>0</v>
      </c>
      <c r="I20" s="4">
        <v>0</v>
      </c>
      <c r="J20" s="4">
        <v>1</v>
      </c>
    </row>
    <row r="21" spans="1:10" x14ac:dyDescent="0.25">
      <c r="A21" t="s">
        <v>3</v>
      </c>
      <c r="B21">
        <v>0</v>
      </c>
      <c r="C21">
        <v>20</v>
      </c>
      <c r="D21">
        <v>0</v>
      </c>
      <c r="E21" t="e">
        <f>IF(B21=1,D21,NA())</f>
        <v>#N/A</v>
      </c>
      <c r="F21">
        <f>IF(B21=0,D21,NA())</f>
        <v>0</v>
      </c>
      <c r="G21" s="4">
        <v>0</v>
      </c>
      <c r="H21" s="4">
        <v>1</v>
      </c>
      <c r="I21" s="4">
        <v>0</v>
      </c>
      <c r="J21" s="4">
        <v>0</v>
      </c>
    </row>
    <row r="22" spans="1:10" x14ac:dyDescent="0.25">
      <c r="A22" t="s">
        <v>3</v>
      </c>
      <c r="B22">
        <v>0</v>
      </c>
      <c r="C22">
        <v>21</v>
      </c>
      <c r="D22">
        <v>0</v>
      </c>
      <c r="E22" t="e">
        <f>IF(B22=1,D22,NA())</f>
        <v>#N/A</v>
      </c>
      <c r="F22">
        <f>IF(B22=0,D22,NA())</f>
        <v>0</v>
      </c>
      <c r="G22" s="4">
        <v>0</v>
      </c>
      <c r="H22" s="4">
        <v>1</v>
      </c>
      <c r="I22" s="4">
        <v>0</v>
      </c>
      <c r="J22" s="4">
        <v>0</v>
      </c>
    </row>
    <row r="23" spans="1:10" x14ac:dyDescent="0.25">
      <c r="A23" t="s">
        <v>3</v>
      </c>
      <c r="B23">
        <v>1</v>
      </c>
      <c r="C23">
        <v>22</v>
      </c>
      <c r="D23">
        <v>-3</v>
      </c>
      <c r="E23">
        <f>IF(B23=1,D23,NA())</f>
        <v>-3</v>
      </c>
      <c r="F23" t="e">
        <f>IF(B23=0,D23,NA())</f>
        <v>#N/A</v>
      </c>
      <c r="G23" s="4">
        <v>0</v>
      </c>
      <c r="H23" s="4">
        <v>0</v>
      </c>
      <c r="I23" s="4">
        <v>0</v>
      </c>
      <c r="J23" s="4">
        <v>1</v>
      </c>
    </row>
    <row r="24" spans="1:10" x14ac:dyDescent="0.25">
      <c r="A24" t="s">
        <v>2</v>
      </c>
      <c r="B24">
        <v>0</v>
      </c>
      <c r="C24">
        <v>23</v>
      </c>
      <c r="D24">
        <v>2</v>
      </c>
      <c r="E24" t="e">
        <f>IF(B24=1,D24,NA())</f>
        <v>#N/A</v>
      </c>
      <c r="F24">
        <f>IF(B24=0,D24,NA())</f>
        <v>2</v>
      </c>
      <c r="G24" s="4">
        <v>0</v>
      </c>
      <c r="H24" s="4">
        <v>0</v>
      </c>
      <c r="I24" s="4">
        <v>1</v>
      </c>
      <c r="J24" s="4">
        <v>0</v>
      </c>
    </row>
    <row r="25" spans="1:10" x14ac:dyDescent="0.25">
      <c r="A25" t="s">
        <v>3</v>
      </c>
      <c r="B25">
        <v>1</v>
      </c>
      <c r="C25">
        <v>24</v>
      </c>
      <c r="D25">
        <v>-1</v>
      </c>
      <c r="E25">
        <f>IF(B25=1,D25,NA())</f>
        <v>-1</v>
      </c>
      <c r="F25" t="e">
        <f>IF(B25=0,D25,NA())</f>
        <v>#N/A</v>
      </c>
      <c r="G25" s="4">
        <v>0</v>
      </c>
      <c r="H25" s="4">
        <v>0</v>
      </c>
      <c r="I25" s="4">
        <v>0</v>
      </c>
      <c r="J25" s="4">
        <v>1</v>
      </c>
    </row>
    <row r="26" spans="1:10" x14ac:dyDescent="0.25">
      <c r="A26" t="s">
        <v>3</v>
      </c>
      <c r="B26">
        <v>0</v>
      </c>
      <c r="C26">
        <v>25</v>
      </c>
      <c r="D26">
        <v>0</v>
      </c>
      <c r="E26" t="e">
        <f>IF(B26=1,D26,NA())</f>
        <v>#N/A</v>
      </c>
      <c r="F26">
        <f>IF(B26=0,D26,NA())</f>
        <v>0</v>
      </c>
      <c r="G26" s="4">
        <v>0</v>
      </c>
      <c r="H26" s="4">
        <v>1</v>
      </c>
      <c r="I26" s="4">
        <v>0</v>
      </c>
      <c r="J26" s="4">
        <v>0</v>
      </c>
    </row>
    <row r="27" spans="1:10" x14ac:dyDescent="0.25">
      <c r="A27" t="s">
        <v>3</v>
      </c>
      <c r="B27">
        <v>0</v>
      </c>
      <c r="C27">
        <v>26</v>
      </c>
      <c r="D27">
        <v>0</v>
      </c>
      <c r="E27" t="e">
        <f>IF(B27=1,D27,NA())</f>
        <v>#N/A</v>
      </c>
      <c r="F27">
        <f>IF(B27=0,D27,NA())</f>
        <v>0</v>
      </c>
      <c r="G27" s="4">
        <v>0</v>
      </c>
      <c r="H27" s="4">
        <v>1</v>
      </c>
      <c r="I27" s="4">
        <v>0</v>
      </c>
      <c r="J27" s="4">
        <v>0</v>
      </c>
    </row>
    <row r="28" spans="1:10" x14ac:dyDescent="0.25">
      <c r="A28" t="s">
        <v>3</v>
      </c>
      <c r="B28">
        <v>0</v>
      </c>
      <c r="C28">
        <v>27</v>
      </c>
      <c r="D28">
        <v>0</v>
      </c>
      <c r="E28" t="e">
        <f>IF(B28=1,D28,NA())</f>
        <v>#N/A</v>
      </c>
      <c r="F28">
        <f>IF(B28=0,D28,NA())</f>
        <v>0</v>
      </c>
      <c r="G28" s="4">
        <v>0</v>
      </c>
      <c r="H28" s="4">
        <v>1</v>
      </c>
      <c r="I28" s="4">
        <v>0</v>
      </c>
      <c r="J28" s="4">
        <v>0</v>
      </c>
    </row>
    <row r="29" spans="1:10" x14ac:dyDescent="0.25">
      <c r="A29" t="s">
        <v>3</v>
      </c>
      <c r="B29">
        <v>1</v>
      </c>
      <c r="C29">
        <v>28</v>
      </c>
      <c r="D29">
        <v>-1</v>
      </c>
      <c r="E29">
        <f>IF(B29=1,D29,NA())</f>
        <v>-1</v>
      </c>
      <c r="F29" t="e">
        <f>IF(B29=0,D29,NA())</f>
        <v>#N/A</v>
      </c>
      <c r="G29" s="4">
        <v>0</v>
      </c>
      <c r="H29" s="4">
        <v>0</v>
      </c>
      <c r="I29" s="4">
        <v>0</v>
      </c>
      <c r="J29" s="4">
        <v>1</v>
      </c>
    </row>
    <row r="30" spans="1:10" x14ac:dyDescent="0.25">
      <c r="A30" t="s">
        <v>3</v>
      </c>
      <c r="B30">
        <v>0</v>
      </c>
      <c r="C30">
        <v>29</v>
      </c>
      <c r="D30">
        <v>0</v>
      </c>
      <c r="E30" t="e">
        <f>IF(B30=1,D30,NA())</f>
        <v>#N/A</v>
      </c>
      <c r="F30">
        <f>IF(B30=0,D30,NA())</f>
        <v>0</v>
      </c>
      <c r="G30" s="4">
        <v>0</v>
      </c>
      <c r="H30" s="4">
        <v>1</v>
      </c>
      <c r="I30" s="4">
        <v>0</v>
      </c>
      <c r="J30" s="4">
        <v>0</v>
      </c>
    </row>
    <row r="31" spans="1:10" x14ac:dyDescent="0.25">
      <c r="A31" t="s">
        <v>3</v>
      </c>
      <c r="B31">
        <v>0</v>
      </c>
      <c r="C31">
        <v>30</v>
      </c>
      <c r="D31">
        <v>0</v>
      </c>
      <c r="E31" t="e">
        <f>IF(B31=1,D31,NA())</f>
        <v>#N/A</v>
      </c>
      <c r="F31">
        <f>IF(B31=0,D31,NA())</f>
        <v>0</v>
      </c>
      <c r="G31" s="4">
        <v>0</v>
      </c>
      <c r="H31" s="4">
        <v>1</v>
      </c>
      <c r="I31" s="4">
        <v>0</v>
      </c>
      <c r="J31" s="4">
        <v>0</v>
      </c>
    </row>
    <row r="32" spans="1:10" x14ac:dyDescent="0.25">
      <c r="A32" t="s">
        <v>3</v>
      </c>
      <c r="B32">
        <v>0</v>
      </c>
      <c r="C32">
        <v>31</v>
      </c>
      <c r="D32">
        <v>0</v>
      </c>
      <c r="E32" t="e">
        <f>IF(B32=1,D32,NA())</f>
        <v>#N/A</v>
      </c>
      <c r="F32">
        <f>IF(B32=0,D32,NA())</f>
        <v>0</v>
      </c>
      <c r="G32" s="4">
        <v>0</v>
      </c>
      <c r="H32" s="4">
        <v>1</v>
      </c>
      <c r="I32" s="4">
        <v>0</v>
      </c>
      <c r="J32" s="4">
        <v>0</v>
      </c>
    </row>
    <row r="33" spans="1:10" x14ac:dyDescent="0.25">
      <c r="A33" t="s">
        <v>2</v>
      </c>
      <c r="B33">
        <v>1</v>
      </c>
      <c r="C33">
        <v>32</v>
      </c>
      <c r="D33">
        <v>0</v>
      </c>
      <c r="E33">
        <f>IF(B33=1,D33,NA())</f>
        <v>0</v>
      </c>
      <c r="F33" t="e">
        <f>IF(B33=0,D33,NA())</f>
        <v>#N/A</v>
      </c>
      <c r="G33" s="4">
        <v>1</v>
      </c>
      <c r="H33" s="4">
        <v>0</v>
      </c>
      <c r="I33" s="4">
        <v>0</v>
      </c>
      <c r="J33" s="4">
        <v>0</v>
      </c>
    </row>
    <row r="34" spans="1:10" x14ac:dyDescent="0.25">
      <c r="A34" t="s">
        <v>3</v>
      </c>
      <c r="B34">
        <v>1</v>
      </c>
      <c r="C34">
        <v>33</v>
      </c>
      <c r="D34">
        <v>-1</v>
      </c>
      <c r="E34">
        <f>IF(B34=1,D34,NA())</f>
        <v>-1</v>
      </c>
      <c r="F34" t="e">
        <f>IF(B34=0,D34,NA())</f>
        <v>#N/A</v>
      </c>
      <c r="G34" s="4">
        <v>0</v>
      </c>
      <c r="H34" s="4">
        <v>0</v>
      </c>
      <c r="I34" s="4">
        <v>0</v>
      </c>
      <c r="J34" s="4">
        <v>1</v>
      </c>
    </row>
    <row r="35" spans="1:10" x14ac:dyDescent="0.25">
      <c r="A35" t="s">
        <v>3</v>
      </c>
      <c r="B35">
        <v>0</v>
      </c>
      <c r="C35">
        <v>34</v>
      </c>
      <c r="D35">
        <v>0</v>
      </c>
      <c r="E35" t="e">
        <f>IF(B35=1,D35,NA())</f>
        <v>#N/A</v>
      </c>
      <c r="F35">
        <f>IF(B35=0,D35,NA())</f>
        <v>0</v>
      </c>
      <c r="G35" s="4">
        <v>0</v>
      </c>
      <c r="H35" s="4">
        <v>1</v>
      </c>
      <c r="I35" s="4">
        <v>0</v>
      </c>
      <c r="J35" s="4">
        <v>0</v>
      </c>
    </row>
    <row r="36" spans="1:10" x14ac:dyDescent="0.25">
      <c r="A36" t="s">
        <v>3</v>
      </c>
      <c r="B36">
        <v>0</v>
      </c>
      <c r="C36">
        <v>35</v>
      </c>
      <c r="D36">
        <v>0</v>
      </c>
      <c r="E36" t="e">
        <f>IF(B36=1,D36,NA())</f>
        <v>#N/A</v>
      </c>
      <c r="F36">
        <f>IF(B36=0,D36,NA())</f>
        <v>0</v>
      </c>
      <c r="G36" s="4">
        <v>0</v>
      </c>
      <c r="H36" s="4">
        <v>1</v>
      </c>
      <c r="I36" s="4">
        <v>0</v>
      </c>
      <c r="J36" s="4">
        <v>0</v>
      </c>
    </row>
    <row r="37" spans="1:10" x14ac:dyDescent="0.25">
      <c r="A37" t="s">
        <v>3</v>
      </c>
      <c r="B37">
        <v>0</v>
      </c>
      <c r="C37">
        <v>36</v>
      </c>
      <c r="D37">
        <v>0</v>
      </c>
      <c r="E37" t="e">
        <f>IF(B37=1,D37,NA())</f>
        <v>#N/A</v>
      </c>
      <c r="F37">
        <f>IF(B37=0,D37,NA())</f>
        <v>0</v>
      </c>
      <c r="G37" s="4">
        <v>0</v>
      </c>
      <c r="H37" s="4">
        <v>1</v>
      </c>
      <c r="I37" s="4">
        <v>0</v>
      </c>
      <c r="J37" s="4">
        <v>0</v>
      </c>
    </row>
    <row r="38" spans="1:10" x14ac:dyDescent="0.25">
      <c r="A38" t="s">
        <v>3</v>
      </c>
      <c r="B38">
        <v>0</v>
      </c>
      <c r="C38">
        <v>37</v>
      </c>
      <c r="D38">
        <v>0</v>
      </c>
      <c r="E38" t="e">
        <f>IF(B38=1,D38,NA())</f>
        <v>#N/A</v>
      </c>
      <c r="F38">
        <f>IF(B38=0,D38,NA())</f>
        <v>0</v>
      </c>
      <c r="G38" s="4">
        <v>0</v>
      </c>
      <c r="H38" s="4">
        <v>1</v>
      </c>
      <c r="I38" s="4">
        <v>0</v>
      </c>
      <c r="J38" s="4">
        <v>0</v>
      </c>
    </row>
    <row r="39" spans="1:10" x14ac:dyDescent="0.25">
      <c r="A39" t="s">
        <v>3</v>
      </c>
      <c r="B39">
        <v>1</v>
      </c>
      <c r="C39">
        <v>38</v>
      </c>
      <c r="D39">
        <v>-2</v>
      </c>
      <c r="E39">
        <f>IF(B39=1,D39,NA())</f>
        <v>-2</v>
      </c>
      <c r="F39" t="e">
        <f>IF(B39=0,D39,NA())</f>
        <v>#N/A</v>
      </c>
      <c r="G39" s="4">
        <v>0</v>
      </c>
      <c r="H39" s="4">
        <v>0</v>
      </c>
      <c r="I39" s="4">
        <v>0</v>
      </c>
      <c r="J39" s="4">
        <v>1</v>
      </c>
    </row>
    <row r="40" spans="1:10" x14ac:dyDescent="0.25">
      <c r="A40" t="s">
        <v>3</v>
      </c>
      <c r="B40">
        <v>1</v>
      </c>
      <c r="C40">
        <v>39</v>
      </c>
      <c r="D40">
        <v>0</v>
      </c>
      <c r="E40">
        <f>IF(B40=1,D40,NA())</f>
        <v>0</v>
      </c>
      <c r="F40" t="e">
        <f>IF(B40=0,D40,NA())</f>
        <v>#N/A</v>
      </c>
      <c r="G40" s="4">
        <v>0</v>
      </c>
      <c r="H40" s="4">
        <v>1</v>
      </c>
      <c r="I40" s="4">
        <v>0</v>
      </c>
      <c r="J40" s="4">
        <v>0</v>
      </c>
    </row>
    <row r="41" spans="1:10" x14ac:dyDescent="0.25">
      <c r="A41" t="s">
        <v>3</v>
      </c>
      <c r="B41">
        <v>1</v>
      </c>
      <c r="C41">
        <v>40</v>
      </c>
      <c r="D41">
        <v>4</v>
      </c>
      <c r="E41">
        <f>IF(B41=1,D41,NA())</f>
        <v>4</v>
      </c>
      <c r="F41" t="e">
        <f>IF(B41=0,D41,NA())</f>
        <v>#N/A</v>
      </c>
      <c r="G41" s="4">
        <v>0</v>
      </c>
      <c r="H41" s="4">
        <v>0</v>
      </c>
      <c r="I41" s="4">
        <v>0</v>
      </c>
      <c r="J41" s="4">
        <v>1</v>
      </c>
    </row>
    <row r="42" spans="1:10" x14ac:dyDescent="0.25">
      <c r="A42" t="s">
        <v>2</v>
      </c>
      <c r="B42">
        <v>0</v>
      </c>
      <c r="C42">
        <v>41</v>
      </c>
      <c r="D42">
        <v>-4</v>
      </c>
      <c r="E42" t="e">
        <f>IF(B42=1,D42,NA())</f>
        <v>#N/A</v>
      </c>
      <c r="F42">
        <f>IF(B42=0,D42,NA())</f>
        <v>-4</v>
      </c>
      <c r="G42" s="4">
        <v>0</v>
      </c>
      <c r="H42" s="4">
        <v>0</v>
      </c>
      <c r="I42" s="4">
        <v>1</v>
      </c>
      <c r="J42" s="4">
        <v>0</v>
      </c>
    </row>
    <row r="43" spans="1:10" x14ac:dyDescent="0.25">
      <c r="A43" t="s">
        <v>3</v>
      </c>
      <c r="B43">
        <v>0</v>
      </c>
      <c r="C43">
        <v>42</v>
      </c>
      <c r="D43">
        <v>0</v>
      </c>
      <c r="E43" t="e">
        <f>IF(B43=1,D43,NA())</f>
        <v>#N/A</v>
      </c>
      <c r="F43">
        <f>IF(B43=0,D43,NA())</f>
        <v>0</v>
      </c>
      <c r="G43" s="4">
        <v>0</v>
      </c>
      <c r="H43" s="4">
        <v>1</v>
      </c>
      <c r="I43" s="4">
        <v>0</v>
      </c>
      <c r="J43" s="4">
        <v>0</v>
      </c>
    </row>
    <row r="44" spans="1:10" x14ac:dyDescent="0.25">
      <c r="A44" t="s">
        <v>3</v>
      </c>
      <c r="B44">
        <v>1</v>
      </c>
      <c r="C44">
        <v>43</v>
      </c>
      <c r="D44">
        <v>4</v>
      </c>
      <c r="E44">
        <f>IF(B44=1,D44,NA())</f>
        <v>4</v>
      </c>
      <c r="F44" t="e">
        <f>IF(B44=0,D44,NA())</f>
        <v>#N/A</v>
      </c>
      <c r="G44" s="4">
        <v>0</v>
      </c>
      <c r="H44" s="4">
        <v>0</v>
      </c>
      <c r="I44" s="4">
        <v>0</v>
      </c>
      <c r="J44" s="4">
        <v>1</v>
      </c>
    </row>
    <row r="45" spans="1:10" x14ac:dyDescent="0.25">
      <c r="A45" t="s">
        <v>3</v>
      </c>
      <c r="B45">
        <v>0</v>
      </c>
      <c r="C45">
        <v>44</v>
      </c>
      <c r="D45">
        <v>0</v>
      </c>
      <c r="E45" t="e">
        <f>IF(B45=1,D45,NA())</f>
        <v>#N/A</v>
      </c>
      <c r="F45">
        <f>IF(B45=0,D45,NA())</f>
        <v>0</v>
      </c>
      <c r="G45" s="4">
        <v>0</v>
      </c>
      <c r="H45" s="4">
        <v>1</v>
      </c>
      <c r="I45" s="4">
        <v>0</v>
      </c>
      <c r="J45" s="4">
        <v>0</v>
      </c>
    </row>
    <row r="46" spans="1:10" x14ac:dyDescent="0.25">
      <c r="A46" t="s">
        <v>3</v>
      </c>
      <c r="B46">
        <v>1</v>
      </c>
      <c r="C46">
        <v>45</v>
      </c>
      <c r="D46">
        <v>0</v>
      </c>
      <c r="E46">
        <f>IF(B46=1,D46,NA())</f>
        <v>0</v>
      </c>
      <c r="F46" t="e">
        <f>IF(B46=0,D46,NA())</f>
        <v>#N/A</v>
      </c>
      <c r="G46" s="4">
        <v>0</v>
      </c>
      <c r="H46" s="4">
        <v>1</v>
      </c>
      <c r="I46" s="4">
        <v>0</v>
      </c>
      <c r="J46" s="4">
        <v>0</v>
      </c>
    </row>
    <row r="47" spans="1:10" x14ac:dyDescent="0.25">
      <c r="A47" t="s">
        <v>3</v>
      </c>
      <c r="B47">
        <v>0</v>
      </c>
      <c r="C47">
        <v>46</v>
      </c>
      <c r="D47">
        <v>0</v>
      </c>
      <c r="E47" t="e">
        <f>IF(B47=1,D47,NA())</f>
        <v>#N/A</v>
      </c>
      <c r="F47">
        <f>IF(B47=0,D47,NA())</f>
        <v>0</v>
      </c>
      <c r="G47" s="4">
        <v>0</v>
      </c>
      <c r="H47" s="4">
        <v>1</v>
      </c>
      <c r="I47" s="4">
        <v>0</v>
      </c>
      <c r="J47" s="4">
        <v>0</v>
      </c>
    </row>
    <row r="48" spans="1:10" x14ac:dyDescent="0.25">
      <c r="A48" t="s">
        <v>3</v>
      </c>
      <c r="B48">
        <v>0</v>
      </c>
      <c r="C48">
        <v>47</v>
      </c>
      <c r="D48">
        <v>0</v>
      </c>
      <c r="E48" t="e">
        <f>IF(B48=1,D48,NA())</f>
        <v>#N/A</v>
      </c>
      <c r="F48">
        <f>IF(B48=0,D48,NA())</f>
        <v>0</v>
      </c>
      <c r="G48" s="4">
        <v>0</v>
      </c>
      <c r="H48" s="4">
        <v>1</v>
      </c>
      <c r="I48" s="4">
        <v>0</v>
      </c>
      <c r="J48" s="4">
        <v>0</v>
      </c>
    </row>
    <row r="49" spans="1:10" x14ac:dyDescent="0.25">
      <c r="A49" t="s">
        <v>3</v>
      </c>
      <c r="B49">
        <v>0</v>
      </c>
      <c r="C49">
        <v>48</v>
      </c>
      <c r="D49">
        <v>0</v>
      </c>
      <c r="E49" t="e">
        <f>IF(B49=1,D49,NA())</f>
        <v>#N/A</v>
      </c>
      <c r="F49">
        <f>IF(B49=0,D49,NA())</f>
        <v>0</v>
      </c>
      <c r="G49" s="4">
        <v>0</v>
      </c>
      <c r="H49" s="4">
        <v>1</v>
      </c>
      <c r="I49" s="4">
        <v>0</v>
      </c>
      <c r="J49" s="4">
        <v>0</v>
      </c>
    </row>
    <row r="50" spans="1:10" x14ac:dyDescent="0.25">
      <c r="A50" t="s">
        <v>2</v>
      </c>
      <c r="B50">
        <v>0</v>
      </c>
      <c r="C50">
        <v>49</v>
      </c>
      <c r="D50">
        <v>-2</v>
      </c>
      <c r="E50" t="e">
        <f>IF(B50=1,D50,NA())</f>
        <v>#N/A</v>
      </c>
      <c r="F50">
        <f>IF(B50=0,D50,NA())</f>
        <v>-2</v>
      </c>
      <c r="G50" s="4">
        <v>0</v>
      </c>
      <c r="H50" s="4">
        <v>0</v>
      </c>
      <c r="I50" s="4">
        <v>1</v>
      </c>
      <c r="J50" s="4">
        <v>0</v>
      </c>
    </row>
    <row r="51" spans="1:10" x14ac:dyDescent="0.25">
      <c r="A51" t="s">
        <v>2</v>
      </c>
      <c r="B51">
        <v>1</v>
      </c>
      <c r="C51">
        <v>50</v>
      </c>
      <c r="D51">
        <v>0</v>
      </c>
      <c r="E51">
        <f>IF(B51=1,D51,NA())</f>
        <v>0</v>
      </c>
      <c r="F51" t="e">
        <f>IF(B51=0,D51,NA())</f>
        <v>#N/A</v>
      </c>
      <c r="G51" s="4">
        <v>1</v>
      </c>
      <c r="H51" s="4">
        <v>0</v>
      </c>
      <c r="I51" s="4">
        <v>0</v>
      </c>
      <c r="J51" s="4">
        <v>0</v>
      </c>
    </row>
    <row r="52" spans="1:10" x14ac:dyDescent="0.25">
      <c r="A52" t="s">
        <v>2</v>
      </c>
      <c r="B52">
        <v>1</v>
      </c>
      <c r="C52">
        <v>51</v>
      </c>
      <c r="D52">
        <v>0</v>
      </c>
      <c r="E52">
        <f>IF(B52=1,D52,NA())</f>
        <v>0</v>
      </c>
      <c r="F52" t="e">
        <f>IF(B52=0,D52,NA())</f>
        <v>#N/A</v>
      </c>
      <c r="G52" s="4">
        <v>1</v>
      </c>
      <c r="H52" s="4">
        <v>0</v>
      </c>
      <c r="I52" s="4">
        <v>0</v>
      </c>
      <c r="J52" s="4">
        <v>0</v>
      </c>
    </row>
    <row r="53" spans="1:10" x14ac:dyDescent="0.25">
      <c r="A53" t="s">
        <v>2</v>
      </c>
      <c r="B53">
        <v>1</v>
      </c>
      <c r="C53">
        <v>52</v>
      </c>
      <c r="D53">
        <v>0</v>
      </c>
      <c r="E53">
        <f>IF(B53=1,D53,NA())</f>
        <v>0</v>
      </c>
      <c r="F53" t="e">
        <f>IF(B53=0,D53,NA())</f>
        <v>#N/A</v>
      </c>
      <c r="G53" s="4">
        <v>1</v>
      </c>
      <c r="H53" s="4">
        <v>0</v>
      </c>
      <c r="I53" s="4">
        <v>0</v>
      </c>
      <c r="J53" s="4">
        <v>0</v>
      </c>
    </row>
    <row r="54" spans="1:10" x14ac:dyDescent="0.25">
      <c r="A54" t="s">
        <v>2</v>
      </c>
      <c r="B54">
        <v>1</v>
      </c>
      <c r="C54">
        <v>53</v>
      </c>
      <c r="D54">
        <v>0</v>
      </c>
      <c r="E54">
        <f>IF(B54=1,D54,NA())</f>
        <v>0</v>
      </c>
      <c r="F54" t="e">
        <f>IF(B54=0,D54,NA())</f>
        <v>#N/A</v>
      </c>
      <c r="G54" s="4">
        <v>1</v>
      </c>
      <c r="H54" s="4">
        <v>0</v>
      </c>
      <c r="I54" s="4">
        <v>0</v>
      </c>
      <c r="J54" s="4">
        <v>0</v>
      </c>
    </row>
    <row r="55" spans="1:10" x14ac:dyDescent="0.25">
      <c r="A55" t="s">
        <v>3</v>
      </c>
      <c r="B55">
        <v>1</v>
      </c>
      <c r="C55">
        <v>54</v>
      </c>
      <c r="D55">
        <v>-5</v>
      </c>
      <c r="E55">
        <f>IF(B55=1,D55,NA())</f>
        <v>-5</v>
      </c>
      <c r="F55" t="e">
        <f>IF(B55=0,D55,NA())</f>
        <v>#N/A</v>
      </c>
      <c r="G55" s="4">
        <v>0</v>
      </c>
      <c r="H55" s="4">
        <v>0</v>
      </c>
      <c r="I55" s="4">
        <v>0</v>
      </c>
      <c r="J55" s="4">
        <v>1</v>
      </c>
    </row>
    <row r="56" spans="1:10" x14ac:dyDescent="0.25">
      <c r="A56" t="s">
        <v>3</v>
      </c>
      <c r="B56">
        <v>0</v>
      </c>
      <c r="C56">
        <v>55</v>
      </c>
      <c r="D56">
        <v>0</v>
      </c>
      <c r="E56" t="e">
        <f>IF(B56=1,D56,NA())</f>
        <v>#N/A</v>
      </c>
      <c r="F56">
        <f>IF(B56=0,D56,NA())</f>
        <v>0</v>
      </c>
      <c r="G56" s="4">
        <v>0</v>
      </c>
      <c r="H56" s="4">
        <v>1</v>
      </c>
      <c r="I56" s="4">
        <v>0</v>
      </c>
      <c r="J56" s="4">
        <v>0</v>
      </c>
    </row>
    <row r="57" spans="1:10" x14ac:dyDescent="0.25">
      <c r="A57" t="s">
        <v>3</v>
      </c>
      <c r="B57">
        <v>0</v>
      </c>
      <c r="C57">
        <v>56</v>
      </c>
      <c r="D57">
        <v>0</v>
      </c>
      <c r="E57" t="e">
        <f>IF(B57=1,D57,NA())</f>
        <v>#N/A</v>
      </c>
      <c r="F57">
        <f>IF(B57=0,D57,NA())</f>
        <v>0</v>
      </c>
      <c r="G57" s="4">
        <v>0</v>
      </c>
      <c r="H57" s="4">
        <v>1</v>
      </c>
      <c r="I57" s="4">
        <v>0</v>
      </c>
      <c r="J57" s="4">
        <v>0</v>
      </c>
    </row>
    <row r="58" spans="1:10" x14ac:dyDescent="0.25">
      <c r="A58" t="s">
        <v>3</v>
      </c>
      <c r="B58">
        <v>1</v>
      </c>
      <c r="C58">
        <v>57</v>
      </c>
      <c r="D58">
        <v>-5</v>
      </c>
      <c r="E58">
        <f>IF(B58=1,D58,NA())</f>
        <v>-5</v>
      </c>
      <c r="F58" t="e">
        <f>IF(B58=0,D58,NA())</f>
        <v>#N/A</v>
      </c>
      <c r="G58" s="4">
        <v>0</v>
      </c>
      <c r="H58" s="4">
        <v>0</v>
      </c>
      <c r="I58" s="4">
        <v>0</v>
      </c>
      <c r="J58" s="4">
        <v>1</v>
      </c>
    </row>
    <row r="59" spans="1:10" x14ac:dyDescent="0.25">
      <c r="A59" t="s">
        <v>3</v>
      </c>
      <c r="B59">
        <v>1</v>
      </c>
      <c r="C59">
        <v>58</v>
      </c>
      <c r="D59">
        <v>-1</v>
      </c>
      <c r="E59">
        <f>IF(B59=1,D59,NA())</f>
        <v>-1</v>
      </c>
      <c r="F59" t="e">
        <f>IF(B59=0,D59,NA())</f>
        <v>#N/A</v>
      </c>
      <c r="G59" s="4">
        <v>0</v>
      </c>
      <c r="H59" s="4">
        <v>0</v>
      </c>
      <c r="I59" s="4">
        <v>0</v>
      </c>
      <c r="J59" s="4">
        <v>1</v>
      </c>
    </row>
    <row r="60" spans="1:10" x14ac:dyDescent="0.25">
      <c r="A60" t="s">
        <v>3</v>
      </c>
      <c r="B60">
        <v>0</v>
      </c>
      <c r="C60">
        <v>59</v>
      </c>
      <c r="D60">
        <v>0</v>
      </c>
      <c r="E60" t="e">
        <f>IF(B60=1,D60,NA())</f>
        <v>#N/A</v>
      </c>
      <c r="F60">
        <f>IF(B60=0,D60,NA())</f>
        <v>0</v>
      </c>
      <c r="G60" s="4">
        <v>0</v>
      </c>
      <c r="H60" s="4">
        <v>1</v>
      </c>
      <c r="I60" s="4">
        <v>0</v>
      </c>
      <c r="J60" s="4">
        <v>0</v>
      </c>
    </row>
    <row r="61" spans="1:10" x14ac:dyDescent="0.25">
      <c r="A61" t="s">
        <v>2</v>
      </c>
      <c r="B61">
        <v>1</v>
      </c>
      <c r="C61">
        <v>60</v>
      </c>
      <c r="D61">
        <v>0</v>
      </c>
      <c r="E61">
        <f>IF(B61=1,D61,NA())</f>
        <v>0</v>
      </c>
      <c r="F61" t="e">
        <f>IF(B61=0,D61,NA())</f>
        <v>#N/A</v>
      </c>
      <c r="G61" s="4">
        <v>1</v>
      </c>
      <c r="H61" s="4">
        <v>0</v>
      </c>
      <c r="I61" s="4">
        <v>0</v>
      </c>
      <c r="J61" s="4">
        <v>0</v>
      </c>
    </row>
    <row r="62" spans="1:10" x14ac:dyDescent="0.25">
      <c r="A62" t="s">
        <v>2</v>
      </c>
      <c r="B62">
        <v>1</v>
      </c>
      <c r="C62">
        <v>61</v>
      </c>
      <c r="D62">
        <v>0</v>
      </c>
      <c r="E62">
        <f>IF(B62=1,D62,NA())</f>
        <v>0</v>
      </c>
      <c r="F62" t="e">
        <f>IF(B62=0,D62,NA())</f>
        <v>#N/A</v>
      </c>
      <c r="G62" s="4">
        <v>1</v>
      </c>
      <c r="H62" s="4">
        <v>0</v>
      </c>
      <c r="I62" s="4">
        <v>0</v>
      </c>
      <c r="J62" s="4">
        <v>0</v>
      </c>
    </row>
    <row r="63" spans="1:10" x14ac:dyDescent="0.25">
      <c r="A63" t="s">
        <v>3</v>
      </c>
      <c r="B63">
        <v>1</v>
      </c>
      <c r="C63">
        <v>62</v>
      </c>
      <c r="D63">
        <v>-3</v>
      </c>
      <c r="E63">
        <f>IF(B63=1,D63,NA())</f>
        <v>-3</v>
      </c>
      <c r="F63" t="e">
        <f>IF(B63=0,D63,NA())</f>
        <v>#N/A</v>
      </c>
      <c r="G63" s="4">
        <v>0</v>
      </c>
      <c r="H63" s="4">
        <v>0</v>
      </c>
      <c r="I63" s="4">
        <v>0</v>
      </c>
      <c r="J63" s="4">
        <v>1</v>
      </c>
    </row>
    <row r="64" spans="1:10" x14ac:dyDescent="0.25">
      <c r="A64" t="s">
        <v>2</v>
      </c>
      <c r="B64">
        <v>1</v>
      </c>
      <c r="C64">
        <v>63</v>
      </c>
      <c r="D64">
        <v>0</v>
      </c>
      <c r="E64">
        <f>IF(B64=1,D64,NA())</f>
        <v>0</v>
      </c>
      <c r="F64" t="e">
        <f>IF(B64=0,D64,NA())</f>
        <v>#N/A</v>
      </c>
      <c r="G64" s="4">
        <v>1</v>
      </c>
      <c r="H64" s="4">
        <v>0</v>
      </c>
      <c r="I64" s="4">
        <v>0</v>
      </c>
      <c r="J64" s="4">
        <v>0</v>
      </c>
    </row>
    <row r="65" spans="1:10" x14ac:dyDescent="0.25">
      <c r="A65" t="s">
        <v>2</v>
      </c>
      <c r="B65">
        <v>0</v>
      </c>
      <c r="C65">
        <v>64</v>
      </c>
      <c r="D65">
        <v>3</v>
      </c>
      <c r="E65" t="e">
        <f>IF(B65=1,D65,NA())</f>
        <v>#N/A</v>
      </c>
      <c r="F65">
        <f>IF(B65=0,D65,NA())</f>
        <v>3</v>
      </c>
      <c r="G65" s="4">
        <v>0</v>
      </c>
      <c r="H65" s="4">
        <v>0</v>
      </c>
      <c r="I65" s="4">
        <v>1</v>
      </c>
      <c r="J65" s="4">
        <v>0</v>
      </c>
    </row>
    <row r="66" spans="1:10" x14ac:dyDescent="0.25">
      <c r="A66" t="s">
        <v>2</v>
      </c>
      <c r="B66">
        <v>0</v>
      </c>
      <c r="C66">
        <v>65</v>
      </c>
      <c r="D66">
        <v>4</v>
      </c>
      <c r="E66" t="e">
        <f>IF(B66=1,D66,NA())</f>
        <v>#N/A</v>
      </c>
      <c r="F66">
        <f>IF(B66=0,D66,NA())</f>
        <v>4</v>
      </c>
      <c r="G66" s="4">
        <v>0</v>
      </c>
      <c r="H66" s="4">
        <v>0</v>
      </c>
      <c r="I66" s="4">
        <v>1</v>
      </c>
      <c r="J66" s="4">
        <v>0</v>
      </c>
    </row>
    <row r="67" spans="1:10" x14ac:dyDescent="0.25">
      <c r="A67" t="s">
        <v>3</v>
      </c>
      <c r="B67">
        <v>0</v>
      </c>
      <c r="C67">
        <v>66</v>
      </c>
      <c r="D67">
        <v>0</v>
      </c>
      <c r="E67" t="e">
        <f>IF(B67=1,D67,NA())</f>
        <v>#N/A</v>
      </c>
      <c r="F67">
        <f>IF(B67=0,D67,NA())</f>
        <v>0</v>
      </c>
      <c r="G67" s="4">
        <v>0</v>
      </c>
      <c r="H67" s="4">
        <v>1</v>
      </c>
      <c r="I67" s="4">
        <v>0</v>
      </c>
      <c r="J67" s="4">
        <v>0</v>
      </c>
    </row>
    <row r="68" spans="1:10" x14ac:dyDescent="0.25">
      <c r="A68" t="s">
        <v>3</v>
      </c>
      <c r="B68">
        <v>1</v>
      </c>
      <c r="C68">
        <v>67</v>
      </c>
      <c r="D68">
        <v>-3</v>
      </c>
      <c r="E68">
        <f>IF(B68=1,D68,NA())</f>
        <v>-3</v>
      </c>
      <c r="F68" t="e">
        <f>IF(B68=0,D68,NA())</f>
        <v>#N/A</v>
      </c>
      <c r="G68" s="4">
        <v>0</v>
      </c>
      <c r="H68" s="4">
        <v>0</v>
      </c>
      <c r="I68" s="4">
        <v>0</v>
      </c>
      <c r="J68" s="4">
        <v>1</v>
      </c>
    </row>
    <row r="69" spans="1:10" x14ac:dyDescent="0.25">
      <c r="A69" t="s">
        <v>3</v>
      </c>
      <c r="B69">
        <v>0</v>
      </c>
      <c r="C69">
        <v>68</v>
      </c>
      <c r="D69">
        <v>0</v>
      </c>
      <c r="E69" t="e">
        <f>IF(B69=1,D69,NA())</f>
        <v>#N/A</v>
      </c>
      <c r="F69">
        <f>IF(B69=0,D69,NA())</f>
        <v>0</v>
      </c>
      <c r="G69" s="4">
        <v>0</v>
      </c>
      <c r="H69" s="4">
        <v>1</v>
      </c>
      <c r="I69" s="4">
        <v>0</v>
      </c>
      <c r="J69" s="4">
        <v>0</v>
      </c>
    </row>
    <row r="70" spans="1:10" x14ac:dyDescent="0.25">
      <c r="A70" t="s">
        <v>2</v>
      </c>
      <c r="B70">
        <v>0</v>
      </c>
      <c r="C70">
        <v>69</v>
      </c>
      <c r="D70">
        <v>-4</v>
      </c>
      <c r="E70" t="e">
        <f>IF(B70=1,D70,NA())</f>
        <v>#N/A</v>
      </c>
      <c r="F70">
        <f>IF(B70=0,D70,NA())</f>
        <v>-4</v>
      </c>
      <c r="G70" s="4">
        <v>0</v>
      </c>
      <c r="H70" s="4">
        <v>0</v>
      </c>
      <c r="I70" s="4">
        <v>1</v>
      </c>
      <c r="J70" s="4">
        <v>0</v>
      </c>
    </row>
    <row r="71" spans="1:10" x14ac:dyDescent="0.25">
      <c r="A71" t="s">
        <v>2</v>
      </c>
      <c r="B71">
        <v>0</v>
      </c>
      <c r="C71">
        <v>70</v>
      </c>
      <c r="D71">
        <v>-5</v>
      </c>
      <c r="E71" t="e">
        <f>IF(B71=1,D71,NA())</f>
        <v>#N/A</v>
      </c>
      <c r="F71">
        <f>IF(B71=0,D71,NA())</f>
        <v>-5</v>
      </c>
      <c r="G71" s="4">
        <v>0</v>
      </c>
      <c r="H71" s="4">
        <v>0</v>
      </c>
      <c r="I71" s="4">
        <v>1</v>
      </c>
      <c r="J71" s="4">
        <v>0</v>
      </c>
    </row>
    <row r="72" spans="1:10" x14ac:dyDescent="0.25">
      <c r="A72" t="s">
        <v>3</v>
      </c>
      <c r="B72">
        <v>0</v>
      </c>
      <c r="C72">
        <v>71</v>
      </c>
      <c r="D72">
        <v>0</v>
      </c>
      <c r="E72" t="e">
        <f>IF(B72=1,D72,NA())</f>
        <v>#N/A</v>
      </c>
      <c r="F72">
        <f>IF(B72=0,D72,NA())</f>
        <v>0</v>
      </c>
      <c r="G72" s="4">
        <v>0</v>
      </c>
      <c r="H72" s="4">
        <v>1</v>
      </c>
      <c r="I72" s="4">
        <v>0</v>
      </c>
      <c r="J72" s="4">
        <v>0</v>
      </c>
    </row>
    <row r="73" spans="1:10" x14ac:dyDescent="0.25">
      <c r="A73" t="s">
        <v>2</v>
      </c>
      <c r="B73">
        <v>1</v>
      </c>
      <c r="C73">
        <v>72</v>
      </c>
      <c r="D73">
        <v>0</v>
      </c>
      <c r="E73">
        <f>IF(B73=1,D73,NA())</f>
        <v>0</v>
      </c>
      <c r="F73" t="e">
        <f>IF(B73=0,D73,NA())</f>
        <v>#N/A</v>
      </c>
      <c r="G73" s="4">
        <v>1</v>
      </c>
      <c r="H73" s="4">
        <v>0</v>
      </c>
      <c r="I73" s="4">
        <v>0</v>
      </c>
      <c r="J73" s="4">
        <v>0</v>
      </c>
    </row>
    <row r="74" spans="1:10" x14ac:dyDescent="0.25">
      <c r="A74" t="s">
        <v>2</v>
      </c>
      <c r="B74">
        <v>0</v>
      </c>
      <c r="C74">
        <v>73</v>
      </c>
      <c r="D74">
        <v>0</v>
      </c>
      <c r="E74" t="e">
        <f>IF(B74=1,D74,NA())</f>
        <v>#N/A</v>
      </c>
      <c r="F74">
        <f>IF(B74=0,D74,NA())</f>
        <v>0</v>
      </c>
      <c r="G74" s="4">
        <v>1</v>
      </c>
      <c r="H74" s="4">
        <v>0</v>
      </c>
      <c r="I74" s="4">
        <v>0</v>
      </c>
      <c r="J74" s="4">
        <v>0</v>
      </c>
    </row>
    <row r="75" spans="1:10" x14ac:dyDescent="0.25">
      <c r="A75" t="s">
        <v>3</v>
      </c>
      <c r="B75">
        <v>0</v>
      </c>
      <c r="C75">
        <v>74</v>
      </c>
      <c r="D75">
        <v>0</v>
      </c>
      <c r="E75" t="e">
        <f>IF(B75=1,D75,NA())</f>
        <v>#N/A</v>
      </c>
      <c r="F75">
        <f>IF(B75=0,D75,NA())</f>
        <v>0</v>
      </c>
      <c r="G75" s="4">
        <v>0</v>
      </c>
      <c r="H75" s="4">
        <v>1</v>
      </c>
      <c r="I75" s="4">
        <v>0</v>
      </c>
      <c r="J75" s="4">
        <v>0</v>
      </c>
    </row>
    <row r="76" spans="1:10" x14ac:dyDescent="0.25">
      <c r="A76" t="s">
        <v>3</v>
      </c>
      <c r="B76">
        <v>1</v>
      </c>
      <c r="C76">
        <v>75</v>
      </c>
      <c r="D76">
        <v>2</v>
      </c>
      <c r="E76">
        <f>IF(B76=1,D76,NA())</f>
        <v>2</v>
      </c>
      <c r="F76" t="e">
        <f>IF(B76=0,D76,NA())</f>
        <v>#N/A</v>
      </c>
      <c r="G76" s="4">
        <v>0</v>
      </c>
      <c r="H76" s="4">
        <v>0</v>
      </c>
      <c r="I76" s="4">
        <v>0</v>
      </c>
      <c r="J76" s="4">
        <v>1</v>
      </c>
    </row>
    <row r="77" spans="1:10" x14ac:dyDescent="0.25">
      <c r="A77" t="s">
        <v>2</v>
      </c>
      <c r="B77">
        <v>1</v>
      </c>
      <c r="C77">
        <v>76</v>
      </c>
      <c r="D77">
        <v>0</v>
      </c>
      <c r="E77">
        <f>IF(B77=1,D77,NA())</f>
        <v>0</v>
      </c>
      <c r="F77" t="e">
        <f>IF(B77=0,D77,NA())</f>
        <v>#N/A</v>
      </c>
      <c r="G77" s="4">
        <v>1</v>
      </c>
      <c r="H77" s="4">
        <v>0</v>
      </c>
      <c r="I77" s="4">
        <v>0</v>
      </c>
      <c r="J77" s="4">
        <v>0</v>
      </c>
    </row>
    <row r="78" spans="1:10" x14ac:dyDescent="0.25">
      <c r="A78" t="s">
        <v>3</v>
      </c>
      <c r="B78">
        <v>0</v>
      </c>
      <c r="C78">
        <v>77</v>
      </c>
      <c r="D78">
        <v>0</v>
      </c>
      <c r="E78" t="e">
        <f>IF(B78=1,D78,NA())</f>
        <v>#N/A</v>
      </c>
      <c r="F78">
        <f>IF(B78=0,D78,NA())</f>
        <v>0</v>
      </c>
      <c r="G78" s="4">
        <v>0</v>
      </c>
      <c r="H78" s="4">
        <v>1</v>
      </c>
      <c r="I78" s="4">
        <v>0</v>
      </c>
      <c r="J78" s="4">
        <v>0</v>
      </c>
    </row>
    <row r="79" spans="1:10" x14ac:dyDescent="0.25">
      <c r="A79" t="s">
        <v>3</v>
      </c>
      <c r="B79">
        <v>0</v>
      </c>
      <c r="C79">
        <v>78</v>
      </c>
      <c r="D79">
        <v>0</v>
      </c>
      <c r="E79" t="e">
        <f>IF(B79=1,D79,NA())</f>
        <v>#N/A</v>
      </c>
      <c r="F79">
        <f>IF(B79=0,D79,NA())</f>
        <v>0</v>
      </c>
      <c r="G79" s="4">
        <v>0</v>
      </c>
      <c r="H79" s="4">
        <v>1</v>
      </c>
      <c r="I79" s="4">
        <v>0</v>
      </c>
      <c r="J79" s="4">
        <v>0</v>
      </c>
    </row>
    <row r="80" spans="1:10" x14ac:dyDescent="0.25">
      <c r="A80" t="s">
        <v>3</v>
      </c>
      <c r="B80">
        <v>0</v>
      </c>
      <c r="C80">
        <v>79</v>
      </c>
      <c r="D80">
        <v>0</v>
      </c>
      <c r="E80" t="e">
        <f>IF(B80=1,D80,NA())</f>
        <v>#N/A</v>
      </c>
      <c r="F80">
        <f>IF(B80=0,D80,NA())</f>
        <v>0</v>
      </c>
      <c r="G80" s="4">
        <v>0</v>
      </c>
      <c r="H80" s="4">
        <v>1</v>
      </c>
      <c r="I80" s="4">
        <v>0</v>
      </c>
      <c r="J80" s="4">
        <v>0</v>
      </c>
    </row>
    <row r="81" spans="1:10" x14ac:dyDescent="0.25">
      <c r="A81" t="s">
        <v>2</v>
      </c>
      <c r="B81">
        <v>0</v>
      </c>
      <c r="C81">
        <v>80</v>
      </c>
      <c r="D81">
        <v>4</v>
      </c>
      <c r="E81" t="e">
        <f>IF(B81=1,D81,NA())</f>
        <v>#N/A</v>
      </c>
      <c r="F81">
        <f>IF(B81=0,D81,NA())</f>
        <v>4</v>
      </c>
      <c r="G81" s="4">
        <v>0</v>
      </c>
      <c r="H81" s="4">
        <v>0</v>
      </c>
      <c r="I81" s="4">
        <v>1</v>
      </c>
      <c r="J81" s="4">
        <v>0</v>
      </c>
    </row>
    <row r="82" spans="1:10" x14ac:dyDescent="0.25">
      <c r="A82" t="s">
        <v>3</v>
      </c>
      <c r="B82">
        <v>1</v>
      </c>
      <c r="C82">
        <v>81</v>
      </c>
      <c r="D82">
        <v>-1</v>
      </c>
      <c r="E82">
        <f>IF(B82=1,D82,NA())</f>
        <v>-1</v>
      </c>
      <c r="F82" t="e">
        <f>IF(B82=0,D82,NA())</f>
        <v>#N/A</v>
      </c>
      <c r="G82" s="4">
        <v>0</v>
      </c>
      <c r="H82" s="4">
        <v>0</v>
      </c>
      <c r="I82" s="4">
        <v>0</v>
      </c>
      <c r="J82" s="4">
        <v>1</v>
      </c>
    </row>
    <row r="83" spans="1:10" x14ac:dyDescent="0.25">
      <c r="A83" t="s">
        <v>3</v>
      </c>
      <c r="B83">
        <v>1</v>
      </c>
      <c r="C83">
        <v>82</v>
      </c>
      <c r="D83">
        <v>0</v>
      </c>
      <c r="E83">
        <f>IF(B83=1,D83,NA())</f>
        <v>0</v>
      </c>
      <c r="F83" t="e">
        <f>IF(B83=0,D83,NA())</f>
        <v>#N/A</v>
      </c>
      <c r="G83" s="4">
        <v>0</v>
      </c>
      <c r="H83" s="4">
        <v>1</v>
      </c>
      <c r="I83" s="4">
        <v>0</v>
      </c>
      <c r="J83" s="4">
        <v>0</v>
      </c>
    </row>
    <row r="84" spans="1:10" x14ac:dyDescent="0.25">
      <c r="A84" t="s">
        <v>3</v>
      </c>
      <c r="B84">
        <v>0</v>
      </c>
      <c r="C84">
        <v>83</v>
      </c>
      <c r="D84">
        <v>0</v>
      </c>
      <c r="E84" t="e">
        <f>IF(B84=1,D84,NA())</f>
        <v>#N/A</v>
      </c>
      <c r="F84">
        <f>IF(B84=0,D84,NA())</f>
        <v>0</v>
      </c>
      <c r="G84" s="4">
        <v>0</v>
      </c>
      <c r="H84" s="4">
        <v>1</v>
      </c>
      <c r="I84" s="4">
        <v>0</v>
      </c>
      <c r="J84" s="4">
        <v>0</v>
      </c>
    </row>
    <row r="85" spans="1:10" x14ac:dyDescent="0.25">
      <c r="A85" t="s">
        <v>3</v>
      </c>
      <c r="B85">
        <v>0</v>
      </c>
      <c r="C85">
        <v>84</v>
      </c>
      <c r="D85">
        <v>0</v>
      </c>
      <c r="E85" t="e">
        <f>IF(B85=1,D85,NA())</f>
        <v>#N/A</v>
      </c>
      <c r="F85">
        <f>IF(B85=0,D85,NA())</f>
        <v>0</v>
      </c>
      <c r="G85" s="4">
        <v>0</v>
      </c>
      <c r="H85" s="4">
        <v>1</v>
      </c>
      <c r="I85" s="4">
        <v>0</v>
      </c>
      <c r="J85" s="4">
        <v>0</v>
      </c>
    </row>
    <row r="86" spans="1:10" x14ac:dyDescent="0.25">
      <c r="A86" t="s">
        <v>3</v>
      </c>
      <c r="B86">
        <v>1</v>
      </c>
      <c r="C86">
        <v>85</v>
      </c>
      <c r="D86">
        <v>0</v>
      </c>
      <c r="E86">
        <f>IF(B86=1,D86,NA())</f>
        <v>0</v>
      </c>
      <c r="F86" t="e">
        <f>IF(B86=0,D86,NA())</f>
        <v>#N/A</v>
      </c>
      <c r="G86" s="4">
        <v>0</v>
      </c>
      <c r="H86" s="4">
        <v>1</v>
      </c>
      <c r="I86" s="4">
        <v>0</v>
      </c>
      <c r="J86" s="4">
        <v>0</v>
      </c>
    </row>
    <row r="87" spans="1:10" x14ac:dyDescent="0.25">
      <c r="A87" t="s">
        <v>3</v>
      </c>
      <c r="B87">
        <v>0</v>
      </c>
      <c r="C87">
        <v>86</v>
      </c>
      <c r="D87">
        <v>0</v>
      </c>
      <c r="E87" t="e">
        <f>IF(B87=1,D87,NA())</f>
        <v>#N/A</v>
      </c>
      <c r="F87">
        <f>IF(B87=0,D87,NA())</f>
        <v>0</v>
      </c>
      <c r="G87" s="4">
        <v>0</v>
      </c>
      <c r="H87" s="4">
        <v>1</v>
      </c>
      <c r="I87" s="4">
        <v>0</v>
      </c>
      <c r="J87" s="4">
        <v>0</v>
      </c>
    </row>
    <row r="88" spans="1:10" x14ac:dyDescent="0.25">
      <c r="A88" t="s">
        <v>3</v>
      </c>
      <c r="B88">
        <v>0</v>
      </c>
      <c r="C88">
        <v>87</v>
      </c>
      <c r="D88">
        <v>0</v>
      </c>
      <c r="E88" t="e">
        <f>IF(B88=1,D88,NA())</f>
        <v>#N/A</v>
      </c>
      <c r="F88">
        <f>IF(B88=0,D88,NA())</f>
        <v>0</v>
      </c>
      <c r="G88" s="4">
        <v>0</v>
      </c>
      <c r="H88" s="4">
        <v>1</v>
      </c>
      <c r="I88" s="4">
        <v>0</v>
      </c>
      <c r="J88" s="4">
        <v>0</v>
      </c>
    </row>
    <row r="89" spans="1:10" x14ac:dyDescent="0.25">
      <c r="A89" t="s">
        <v>3</v>
      </c>
      <c r="B89">
        <v>0</v>
      </c>
      <c r="C89">
        <v>88</v>
      </c>
      <c r="D89">
        <v>0</v>
      </c>
      <c r="E89" t="e">
        <f>IF(B89=1,D89,NA())</f>
        <v>#N/A</v>
      </c>
      <c r="F89">
        <f>IF(B89=0,D89,NA())</f>
        <v>0</v>
      </c>
      <c r="G89" s="4">
        <v>0</v>
      </c>
      <c r="H89" s="4">
        <v>1</v>
      </c>
      <c r="I89" s="4">
        <v>0</v>
      </c>
      <c r="J89" s="4">
        <v>0</v>
      </c>
    </row>
    <row r="90" spans="1:10" x14ac:dyDescent="0.25">
      <c r="A90" t="s">
        <v>2</v>
      </c>
      <c r="B90">
        <v>0</v>
      </c>
      <c r="C90">
        <v>89</v>
      </c>
      <c r="D90">
        <v>2</v>
      </c>
      <c r="E90" t="e">
        <f>IF(B90=1,D90,NA())</f>
        <v>#N/A</v>
      </c>
      <c r="F90">
        <f>IF(B90=0,D90,NA())</f>
        <v>2</v>
      </c>
      <c r="G90" s="4">
        <v>0</v>
      </c>
      <c r="H90" s="4">
        <v>0</v>
      </c>
      <c r="I90" s="4">
        <v>1</v>
      </c>
      <c r="J90" s="4">
        <v>0</v>
      </c>
    </row>
    <row r="91" spans="1:10" x14ac:dyDescent="0.25">
      <c r="A91" t="s">
        <v>3</v>
      </c>
      <c r="B91">
        <v>0</v>
      </c>
      <c r="C91">
        <v>90</v>
      </c>
      <c r="D91">
        <v>0</v>
      </c>
      <c r="E91" t="e">
        <f>IF(B91=1,D91,NA())</f>
        <v>#N/A</v>
      </c>
      <c r="F91">
        <f>IF(B91=0,D91,NA())</f>
        <v>0</v>
      </c>
      <c r="G91" s="4">
        <v>0</v>
      </c>
      <c r="H91" s="4">
        <v>1</v>
      </c>
      <c r="I91" s="4">
        <v>0</v>
      </c>
      <c r="J91" s="4">
        <v>0</v>
      </c>
    </row>
    <row r="92" spans="1:10" x14ac:dyDescent="0.25">
      <c r="A92" t="s">
        <v>3</v>
      </c>
      <c r="B92">
        <v>0</v>
      </c>
      <c r="C92">
        <v>91</v>
      </c>
      <c r="D92">
        <v>0</v>
      </c>
      <c r="E92" t="e">
        <f>IF(B92=1,D92,NA())</f>
        <v>#N/A</v>
      </c>
      <c r="F92">
        <f>IF(B92=0,D92,NA())</f>
        <v>0</v>
      </c>
      <c r="G92" s="4">
        <v>0</v>
      </c>
      <c r="H92" s="4">
        <v>1</v>
      </c>
      <c r="I92" s="4">
        <v>0</v>
      </c>
      <c r="J92" s="4">
        <v>0</v>
      </c>
    </row>
    <row r="93" spans="1:10" x14ac:dyDescent="0.25">
      <c r="A93" t="s">
        <v>2</v>
      </c>
      <c r="B93">
        <v>0</v>
      </c>
      <c r="C93">
        <v>92</v>
      </c>
      <c r="D93">
        <v>1</v>
      </c>
      <c r="E93" t="e">
        <f>IF(B93=1,D93,NA())</f>
        <v>#N/A</v>
      </c>
      <c r="F93">
        <f>IF(B93=0,D93,NA())</f>
        <v>1</v>
      </c>
      <c r="G93" s="4">
        <v>0</v>
      </c>
      <c r="H93" s="4">
        <v>0</v>
      </c>
      <c r="I93" s="4">
        <v>1</v>
      </c>
      <c r="J93" s="4">
        <v>0</v>
      </c>
    </row>
    <row r="94" spans="1:10" x14ac:dyDescent="0.25">
      <c r="A94" t="s">
        <v>2</v>
      </c>
      <c r="B94">
        <v>0</v>
      </c>
      <c r="C94">
        <v>93</v>
      </c>
      <c r="D94">
        <v>-3</v>
      </c>
      <c r="E94" t="e">
        <f>IF(B94=1,D94,NA())</f>
        <v>#N/A</v>
      </c>
      <c r="F94">
        <f>IF(B94=0,D94,NA())</f>
        <v>-3</v>
      </c>
      <c r="G94" s="4">
        <v>0</v>
      </c>
      <c r="H94" s="4">
        <v>0</v>
      </c>
      <c r="I94" s="4">
        <v>1</v>
      </c>
      <c r="J94" s="4">
        <v>0</v>
      </c>
    </row>
    <row r="95" spans="1:10" x14ac:dyDescent="0.25">
      <c r="A95" t="s">
        <v>2</v>
      </c>
      <c r="B95">
        <v>0</v>
      </c>
      <c r="C95">
        <v>94</v>
      </c>
      <c r="D95">
        <v>-1</v>
      </c>
      <c r="E95" t="e">
        <f>IF(B95=1,D95,NA())</f>
        <v>#N/A</v>
      </c>
      <c r="F95">
        <f>IF(B95=0,D95,NA())</f>
        <v>-1</v>
      </c>
      <c r="G95" s="4">
        <v>0</v>
      </c>
      <c r="H95" s="4">
        <v>0</v>
      </c>
      <c r="I95" s="4">
        <v>1</v>
      </c>
      <c r="J95" s="4">
        <v>0</v>
      </c>
    </row>
    <row r="96" spans="1:10" x14ac:dyDescent="0.25">
      <c r="A96" t="s">
        <v>3</v>
      </c>
      <c r="B96">
        <v>1</v>
      </c>
      <c r="C96">
        <v>95</v>
      </c>
      <c r="D96">
        <v>2</v>
      </c>
      <c r="E96">
        <f>IF(B96=1,D96,NA())</f>
        <v>2</v>
      </c>
      <c r="F96" t="e">
        <f>IF(B96=0,D96,NA())</f>
        <v>#N/A</v>
      </c>
      <c r="G96" s="4">
        <v>0</v>
      </c>
      <c r="H96" s="4">
        <v>0</v>
      </c>
      <c r="I96" s="4">
        <v>0</v>
      </c>
      <c r="J96" s="4">
        <v>1</v>
      </c>
    </row>
    <row r="97" spans="1:13" x14ac:dyDescent="0.25">
      <c r="A97" t="s">
        <v>2</v>
      </c>
      <c r="B97">
        <v>1</v>
      </c>
      <c r="C97">
        <v>96</v>
      </c>
      <c r="D97">
        <v>0</v>
      </c>
      <c r="E97">
        <f>IF(B97=1,D97,NA())</f>
        <v>0</v>
      </c>
      <c r="F97" t="e">
        <f>IF(B97=0,D97,NA())</f>
        <v>#N/A</v>
      </c>
      <c r="G97" s="4">
        <v>1</v>
      </c>
      <c r="H97" s="4">
        <v>0</v>
      </c>
      <c r="I97" s="4">
        <v>0</v>
      </c>
      <c r="J97" s="4">
        <v>0</v>
      </c>
    </row>
    <row r="98" spans="1:13" x14ac:dyDescent="0.25">
      <c r="A98" t="s">
        <v>3</v>
      </c>
      <c r="B98">
        <v>0</v>
      </c>
      <c r="C98">
        <v>97</v>
      </c>
      <c r="D98">
        <v>0</v>
      </c>
      <c r="E98" t="e">
        <f>IF(B98=1,D98,NA())</f>
        <v>#N/A</v>
      </c>
      <c r="F98">
        <f>IF(B98=0,D98,NA())</f>
        <v>0</v>
      </c>
      <c r="G98" s="4">
        <v>0</v>
      </c>
      <c r="H98" s="4">
        <v>1</v>
      </c>
      <c r="I98" s="4">
        <v>0</v>
      </c>
      <c r="J98" s="4">
        <v>0</v>
      </c>
    </row>
    <row r="99" spans="1:13" x14ac:dyDescent="0.25">
      <c r="A99" t="s">
        <v>3</v>
      </c>
      <c r="B99">
        <v>1</v>
      </c>
      <c r="C99">
        <v>98</v>
      </c>
      <c r="D99">
        <v>4</v>
      </c>
      <c r="E99">
        <f>IF(B99=1,D99,NA())</f>
        <v>4</v>
      </c>
      <c r="F99" t="e">
        <f>IF(B99=0,D99,NA())</f>
        <v>#N/A</v>
      </c>
      <c r="G99" s="4">
        <v>0</v>
      </c>
      <c r="H99" s="4">
        <v>0</v>
      </c>
      <c r="I99" s="4">
        <v>0</v>
      </c>
      <c r="J99" s="4">
        <v>1</v>
      </c>
    </row>
    <row r="100" spans="1:13" x14ac:dyDescent="0.25">
      <c r="A100" t="s">
        <v>2</v>
      </c>
      <c r="B100">
        <v>0</v>
      </c>
      <c r="C100">
        <v>99</v>
      </c>
      <c r="D100">
        <v>2</v>
      </c>
      <c r="E100" t="e">
        <f>IF(B100=1,D100,NA())</f>
        <v>#N/A</v>
      </c>
      <c r="F100">
        <f>IF(B100=0,D100,NA())</f>
        <v>2</v>
      </c>
      <c r="G100" s="4">
        <v>0</v>
      </c>
      <c r="H100" s="4">
        <v>0</v>
      </c>
      <c r="I100" s="4">
        <v>1</v>
      </c>
      <c r="J100" s="4">
        <v>0</v>
      </c>
    </row>
    <row r="101" spans="1:13" x14ac:dyDescent="0.25">
      <c r="A101" t="s">
        <v>3</v>
      </c>
      <c r="B101">
        <v>0</v>
      </c>
      <c r="C101">
        <v>100</v>
      </c>
      <c r="D101">
        <v>0</v>
      </c>
      <c r="E101" t="e">
        <f>IF(B101=1,D101,NA())</f>
        <v>#N/A</v>
      </c>
      <c r="F101">
        <f>IF(B101=0,D101,NA())</f>
        <v>0</v>
      </c>
      <c r="G101" s="4">
        <v>0</v>
      </c>
      <c r="H101" s="4">
        <v>1</v>
      </c>
      <c r="I101" s="4">
        <v>0</v>
      </c>
      <c r="J101" s="4">
        <v>0</v>
      </c>
    </row>
    <row r="102" spans="1:13" x14ac:dyDescent="0.25">
      <c r="G102" s="5">
        <f>(SUM(G2:G101))</f>
        <v>18</v>
      </c>
      <c r="H102" s="5">
        <f t="shared" ref="H102:J102" si="7">(SUM(H2:H101))</f>
        <v>43</v>
      </c>
      <c r="I102" s="5">
        <f t="shared" si="7"/>
        <v>17</v>
      </c>
      <c r="J102" s="5">
        <f t="shared" si="7"/>
        <v>22</v>
      </c>
      <c r="M102" t="s">
        <v>25</v>
      </c>
    </row>
    <row r="104" spans="1:13" x14ac:dyDescent="0.25">
      <c r="H104" s="8" t="s">
        <v>27</v>
      </c>
      <c r="I104" s="3" t="s">
        <v>29</v>
      </c>
      <c r="K104" t="s">
        <v>30</v>
      </c>
      <c r="L104" t="s">
        <v>31</v>
      </c>
    </row>
    <row r="105" spans="1:13" x14ac:dyDescent="0.25">
      <c r="A105" s="2" t="s">
        <v>14</v>
      </c>
      <c r="B105" s="2" t="s">
        <v>6</v>
      </c>
      <c r="C105" s="2"/>
      <c r="D105" s="2" t="s">
        <v>7</v>
      </c>
      <c r="H105" s="3" t="s">
        <v>12</v>
      </c>
      <c r="I105" s="3">
        <f>G102/(G102+H102)</f>
        <v>0.29508196721311475</v>
      </c>
      <c r="K105" s="6" t="s">
        <v>32</v>
      </c>
      <c r="L105" s="6" t="s">
        <v>33</v>
      </c>
    </row>
    <row r="106" spans="1:13" x14ac:dyDescent="0.25">
      <c r="A106" s="2" t="s">
        <v>4</v>
      </c>
      <c r="B106" s="3" t="s">
        <v>8</v>
      </c>
      <c r="C106" s="3"/>
      <c r="D106" s="3" t="s">
        <v>9</v>
      </c>
      <c r="H106" s="3" t="s">
        <v>13</v>
      </c>
      <c r="I106" s="3">
        <f>I102/(I102+J102)</f>
        <v>0.4358974358974359</v>
      </c>
      <c r="K106" s="3" t="s">
        <v>8</v>
      </c>
      <c r="L106" s="3">
        <f>G102</f>
        <v>18</v>
      </c>
    </row>
    <row r="107" spans="1:13" x14ac:dyDescent="0.25">
      <c r="A107" s="2" t="s">
        <v>5</v>
      </c>
      <c r="B107" s="3" t="s">
        <v>10</v>
      </c>
      <c r="C107" s="3"/>
      <c r="D107" s="3" t="s">
        <v>11</v>
      </c>
      <c r="K107" s="3" t="s">
        <v>9</v>
      </c>
      <c r="L107" s="3">
        <f>H102</f>
        <v>43</v>
      </c>
    </row>
    <row r="108" spans="1:13" x14ac:dyDescent="0.25">
      <c r="K108" s="3" t="s">
        <v>10</v>
      </c>
      <c r="L108" s="3">
        <f>I102</f>
        <v>17</v>
      </c>
    </row>
    <row r="109" spans="1:13" x14ac:dyDescent="0.25">
      <c r="K109" s="3" t="s">
        <v>34</v>
      </c>
      <c r="L109" s="3">
        <f>J102</f>
        <v>22</v>
      </c>
    </row>
    <row r="110" spans="1:13" x14ac:dyDescent="0.25">
      <c r="H110" s="8" t="s">
        <v>28</v>
      </c>
      <c r="I110" s="3"/>
    </row>
    <row r="111" spans="1:13" x14ac:dyDescent="0.25">
      <c r="H111" s="3" t="s">
        <v>17</v>
      </c>
      <c r="I111" s="3">
        <f>NORMSINV(I105)-NORMSINV(I106)</f>
        <v>-0.3772194404242911</v>
      </c>
      <c r="K111" s="7" t="s">
        <v>36</v>
      </c>
      <c r="L111" s="3">
        <f>I111</f>
        <v>-0.3772194404242911</v>
      </c>
    </row>
    <row r="112" spans="1:13" x14ac:dyDescent="0.25">
      <c r="A112" s="3"/>
      <c r="B112" s="3" t="s">
        <v>15</v>
      </c>
      <c r="C112" s="3"/>
      <c r="D112" s="3" t="s">
        <v>16</v>
      </c>
      <c r="H112" s="3" t="s">
        <v>18</v>
      </c>
      <c r="I112" s="3">
        <f>-(NORMSINV(I105)+NORMSINV(I106)) /2</f>
        <v>0.34998876294638465</v>
      </c>
      <c r="K112" s="7" t="s">
        <v>35</v>
      </c>
      <c r="L112" s="3">
        <f>I112</f>
        <v>0.34998876294638465</v>
      </c>
    </row>
    <row r="113" spans="1:10" x14ac:dyDescent="0.25">
      <c r="A113" s="3" t="s">
        <v>4</v>
      </c>
      <c r="B113" s="3">
        <f>G102</f>
        <v>18</v>
      </c>
      <c r="C113" s="3"/>
      <c r="D113" s="3">
        <f>H102</f>
        <v>43</v>
      </c>
    </row>
    <row r="114" spans="1:10" x14ac:dyDescent="0.25">
      <c r="A114" s="3" t="s">
        <v>5</v>
      </c>
      <c r="B114" s="3">
        <f>I102</f>
        <v>17</v>
      </c>
      <c r="C114" s="3"/>
      <c r="D114" s="3">
        <f>J102</f>
        <v>22</v>
      </c>
    </row>
    <row r="115" spans="1:10" x14ac:dyDescent="0.25">
      <c r="H115" s="2" t="s">
        <v>14</v>
      </c>
      <c r="I115" s="2" t="s">
        <v>6</v>
      </c>
      <c r="J115" s="2" t="s">
        <v>7</v>
      </c>
    </row>
    <row r="116" spans="1:10" x14ac:dyDescent="0.25">
      <c r="H116" s="2" t="s">
        <v>4</v>
      </c>
      <c r="I116" s="3" t="s">
        <v>8</v>
      </c>
      <c r="J116" s="3" t="s">
        <v>9</v>
      </c>
    </row>
    <row r="117" spans="1:10" x14ac:dyDescent="0.25">
      <c r="H117" s="2" t="s">
        <v>5</v>
      </c>
      <c r="I117" s="3" t="s">
        <v>10</v>
      </c>
      <c r="J117" s="3" t="s">
        <v>11</v>
      </c>
    </row>
    <row r="119" spans="1:10" x14ac:dyDescent="0.25">
      <c r="H119" t="s">
        <v>24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PARMITA MAHANT</dc:creator>
  <cp:lastModifiedBy>PARMITA MAHANT</cp:lastModifiedBy>
  <dcterms:created xsi:type="dcterms:W3CDTF">2026-09-11T06:07:00Z</dcterms:created>
  <dcterms:modified xsi:type="dcterms:W3CDTF">2026-09-13T10:10:57Z</dcterms:modified>
</cp:coreProperties>
</file>